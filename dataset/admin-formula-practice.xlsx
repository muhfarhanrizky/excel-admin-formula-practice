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Excel\porto maret 2026\"/>
    </mc:Choice>
  </mc:AlternateContent>
  <xr:revisionPtr revIDLastSave="0" documentId="8_{6D5077DE-65B1-4B81-BB97-BB8FBBB6128D}" xr6:coauthVersionLast="47" xr6:coauthVersionMax="47" xr10:uidLastSave="{00000000-0000-0000-0000-000000000000}"/>
  <bookViews>
    <workbookView xWindow="-110" yWindow="-110" windowWidth="19420" windowHeight="10300" xr2:uid="{11A1EDCE-3F10-4DE4-8FE2-55DC61BBE26C}"/>
  </bookViews>
  <sheets>
    <sheet name="Soal" sheetId="1" r:id="rId1"/>
    <sheet name="Arti_Kode_Pegawa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O17" i="1"/>
  <c r="O17" i="1" a="1"/>
  <c r="N17" i="1"/>
  <c r="J17" i="1"/>
  <c r="K17" i="1" s="1"/>
  <c r="M17" i="1" s="1" a="1"/>
  <c r="M17" i="1" s="1"/>
  <c r="I17" i="1" a="1"/>
  <c r="I17" i="1" s="1"/>
  <c r="T17" i="1" s="1" a="1"/>
  <c r="T17" i="1" s="1"/>
  <c r="H17" i="1"/>
  <c r="G17" i="1"/>
  <c r="G17" i="1" a="1"/>
  <c r="F17" i="1"/>
  <c r="D17" i="1"/>
  <c r="E17" i="1" s="1"/>
  <c r="T16" i="1" a="1"/>
  <c r="T16" i="1" s="1"/>
  <c r="O16" i="1" a="1"/>
  <c r="O16" i="1" s="1"/>
  <c r="N16" i="1"/>
  <c r="J16" i="1"/>
  <c r="K16" i="1" s="1"/>
  <c r="M16" i="1" s="1" a="1"/>
  <c r="M16" i="1" s="1"/>
  <c r="I16" i="1" a="1"/>
  <c r="I16" i="1" s="1"/>
  <c r="H16" i="1"/>
  <c r="P16" i="1" s="1"/>
  <c r="G16" i="1" a="1"/>
  <c r="G16" i="1" s="1"/>
  <c r="Q16" i="1" s="1"/>
  <c r="F16" i="1"/>
  <c r="D16" i="1"/>
  <c r="E16" i="1" s="1"/>
  <c r="O15" i="1" a="1"/>
  <c r="O15" i="1" s="1"/>
  <c r="N15" i="1"/>
  <c r="M15" i="1" a="1"/>
  <c r="M15" i="1" s="1"/>
  <c r="S15" i="1" s="1"/>
  <c r="J15" i="1"/>
  <c r="K15" i="1" s="1"/>
  <c r="I15" i="1" a="1"/>
  <c r="I15" i="1" s="1"/>
  <c r="H15" i="1"/>
  <c r="G15" i="1"/>
  <c r="G15" i="1" a="1"/>
  <c r="F15" i="1"/>
  <c r="D15" i="1"/>
  <c r="E15" i="1" s="1"/>
  <c r="O14" i="1" a="1"/>
  <c r="O14" i="1" s="1"/>
  <c r="N14" i="1"/>
  <c r="M14" i="1"/>
  <c r="R14" i="1" s="1"/>
  <c r="K14" i="1"/>
  <c r="M14" i="1" s="1" a="1"/>
  <c r="J14" i="1"/>
  <c r="I14" i="1" a="1"/>
  <c r="I14" i="1" s="1"/>
  <c r="H14" i="1"/>
  <c r="P14" i="1" s="1"/>
  <c r="G14" i="1" a="1"/>
  <c r="G14" i="1" s="1"/>
  <c r="Q14" i="1" s="1"/>
  <c r="F14" i="1"/>
  <c r="E14" i="1"/>
  <c r="D14" i="1"/>
  <c r="O13" i="1" a="1"/>
  <c r="O13" i="1" s="1"/>
  <c r="N13" i="1"/>
  <c r="J13" i="1"/>
  <c r="K13" i="1" s="1"/>
  <c r="M13" i="1" s="1" a="1"/>
  <c r="M13" i="1" s="1"/>
  <c r="I13" i="1" a="1"/>
  <c r="I13" i="1" s="1"/>
  <c r="T13" i="1" s="1" a="1"/>
  <c r="T13" i="1" s="1"/>
  <c r="H13" i="1"/>
  <c r="P13" i="1" s="1"/>
  <c r="G13" i="1" a="1"/>
  <c r="G13" i="1" s="1"/>
  <c r="Q13" i="1" s="1"/>
  <c r="F13" i="1"/>
  <c r="D13" i="1"/>
  <c r="E13" i="1" s="1"/>
  <c r="P12" i="1"/>
  <c r="O12" i="1" a="1"/>
  <c r="O12" i="1" s="1"/>
  <c r="N12" i="1"/>
  <c r="K12" i="1"/>
  <c r="M12" i="1" s="1" a="1"/>
  <c r="M12" i="1" s="1"/>
  <c r="J12" i="1"/>
  <c r="I12" i="1"/>
  <c r="T12" i="1" s="1" a="1"/>
  <c r="T12" i="1" s="1"/>
  <c r="I12" i="1" a="1"/>
  <c r="H12" i="1"/>
  <c r="G12" i="1" a="1"/>
  <c r="G12" i="1" s="1"/>
  <c r="Q12" i="1" s="1"/>
  <c r="F12" i="1"/>
  <c r="D12" i="1"/>
  <c r="E12" i="1" s="1"/>
  <c r="P11" i="1"/>
  <c r="O11" i="1"/>
  <c r="O11" i="1" a="1"/>
  <c r="N11" i="1"/>
  <c r="J11" i="1"/>
  <c r="K11" i="1" s="1"/>
  <c r="M11" i="1" s="1" a="1"/>
  <c r="M11" i="1" s="1"/>
  <c r="I11" i="1"/>
  <c r="T11" i="1" s="1" a="1"/>
  <c r="T11" i="1" s="1"/>
  <c r="I11" i="1" a="1"/>
  <c r="H11" i="1"/>
  <c r="G11" i="1" a="1"/>
  <c r="G11" i="1" s="1"/>
  <c r="Q11" i="1" s="1"/>
  <c r="F11" i="1"/>
  <c r="D11" i="1"/>
  <c r="E11" i="1" s="1"/>
  <c r="V10" i="1"/>
  <c r="P10" i="1"/>
  <c r="O10" i="1"/>
  <c r="O10" i="1" a="1"/>
  <c r="N10" i="1"/>
  <c r="J10" i="1"/>
  <c r="K10" i="1" s="1"/>
  <c r="M10" i="1" s="1" a="1"/>
  <c r="M10" i="1" s="1"/>
  <c r="I10" i="1" a="1"/>
  <c r="I10" i="1" s="1"/>
  <c r="T10" i="1" s="1" a="1"/>
  <c r="T10" i="1" s="1"/>
  <c r="H10" i="1"/>
  <c r="G10" i="1" a="1"/>
  <c r="G10" i="1" s="1"/>
  <c r="Q10" i="1" s="1"/>
  <c r="F10" i="1"/>
  <c r="D10" i="1"/>
  <c r="E10" i="1" s="1"/>
  <c r="V9" i="1"/>
  <c r="O9" i="1" a="1"/>
  <c r="O9" i="1" s="1"/>
  <c r="N9" i="1"/>
  <c r="J9" i="1"/>
  <c r="K9" i="1" s="1"/>
  <c r="M9" i="1" s="1" a="1"/>
  <c r="M9" i="1" s="1"/>
  <c r="I9" i="1" a="1"/>
  <c r="I9" i="1" s="1"/>
  <c r="T9" i="1" s="1" a="1"/>
  <c r="T9" i="1" s="1"/>
  <c r="H9" i="1"/>
  <c r="P9" i="1" s="1"/>
  <c r="G9" i="1"/>
  <c r="Q9" i="1" s="1"/>
  <c r="G9" i="1" a="1"/>
  <c r="F9" i="1"/>
  <c r="D9" i="1"/>
  <c r="E9" i="1" s="1"/>
  <c r="O8" i="1" a="1"/>
  <c r="O8" i="1" s="1"/>
  <c r="N8" i="1"/>
  <c r="M8" i="1"/>
  <c r="J8" i="1"/>
  <c r="K8" i="1" s="1"/>
  <c r="M8" i="1" s="1" a="1"/>
  <c r="I8" i="1" a="1"/>
  <c r="I8" i="1" s="1"/>
  <c r="H8" i="1"/>
  <c r="P8" i="1" s="1"/>
  <c r="G8" i="1" a="1"/>
  <c r="G8" i="1" s="1"/>
  <c r="Q8" i="1" s="1"/>
  <c r="F8" i="1"/>
  <c r="D8" i="1"/>
  <c r="E8" i="1" s="1"/>
  <c r="T7" i="1" a="1"/>
  <c r="T7" i="1" s="1"/>
  <c r="O7" i="1" a="1"/>
  <c r="O7" i="1" s="1"/>
  <c r="N7" i="1"/>
  <c r="J7" i="1"/>
  <c r="K7" i="1" s="1"/>
  <c r="M7" i="1" s="1" a="1"/>
  <c r="M7" i="1" s="1"/>
  <c r="I7" i="1" a="1"/>
  <c r="I7" i="1" s="1"/>
  <c r="H7" i="1"/>
  <c r="P7" i="1" s="1"/>
  <c r="G7" i="1" a="1"/>
  <c r="G7" i="1" s="1"/>
  <c r="Q7" i="1" s="1"/>
  <c r="F7" i="1"/>
  <c r="D7" i="1"/>
  <c r="E7" i="1" s="1"/>
  <c r="T6" i="1" a="1"/>
  <c r="T6" i="1" s="1"/>
  <c r="O6" i="1" a="1"/>
  <c r="O6" i="1" s="1"/>
  <c r="N6" i="1"/>
  <c r="K6" i="1"/>
  <c r="M6" i="1" s="1" a="1"/>
  <c r="M6" i="1" s="1"/>
  <c r="J6" i="1"/>
  <c r="I6" i="1" a="1"/>
  <c r="I6" i="1" s="1"/>
  <c r="H6" i="1"/>
  <c r="G6" i="1" a="1"/>
  <c r="G6" i="1" s="1"/>
  <c r="Q6" i="1" s="1"/>
  <c r="F6" i="1"/>
  <c r="E6" i="1"/>
  <c r="D6" i="1"/>
  <c r="O5" i="1" a="1"/>
  <c r="O5" i="1" s="1"/>
  <c r="N5" i="1"/>
  <c r="J5" i="1"/>
  <c r="K5" i="1" s="1"/>
  <c r="M5" i="1" s="1" a="1"/>
  <c r="M5" i="1" s="1"/>
  <c r="I5" i="1" a="1"/>
  <c r="I5" i="1" s="1"/>
  <c r="T5" i="1" s="1" a="1"/>
  <c r="T5" i="1" s="1"/>
  <c r="H5" i="1"/>
  <c r="P5" i="1" s="1"/>
  <c r="G5" i="1" a="1"/>
  <c r="G5" i="1" s="1"/>
  <c r="Q5" i="1" s="1"/>
  <c r="F5" i="1"/>
  <c r="D5" i="1"/>
  <c r="E5" i="1" s="1"/>
  <c r="P4" i="1"/>
  <c r="O4" i="1" a="1"/>
  <c r="O4" i="1" s="1"/>
  <c r="N4" i="1"/>
  <c r="J4" i="1"/>
  <c r="K4" i="1" s="1"/>
  <c r="M4" i="1" s="1" a="1"/>
  <c r="M4" i="1" s="1"/>
  <c r="I4" i="1"/>
  <c r="T4" i="1" s="1" a="1"/>
  <c r="T4" i="1" s="1"/>
  <c r="I4" i="1" a="1"/>
  <c r="H4" i="1"/>
  <c r="G4" i="1" a="1"/>
  <c r="G4" i="1" s="1"/>
  <c r="Q4" i="1" s="1"/>
  <c r="F4" i="1"/>
  <c r="D4" i="1"/>
  <c r="E4" i="1" s="1"/>
  <c r="Q3" i="1"/>
  <c r="P3" i="1"/>
  <c r="O3" i="1"/>
  <c r="O3" i="1" a="1"/>
  <c r="N3" i="1"/>
  <c r="J3" i="1"/>
  <c r="K3" i="1" s="1"/>
  <c r="M3" i="1" s="1" a="1"/>
  <c r="M3" i="1" s="1"/>
  <c r="I3" i="1" a="1"/>
  <c r="I3" i="1" s="1"/>
  <c r="T3" i="1" s="1" a="1"/>
  <c r="T3" i="1" s="1"/>
  <c r="H3" i="1"/>
  <c r="G3" i="1" a="1"/>
  <c r="G3" i="1" s="1"/>
  <c r="F3" i="1"/>
  <c r="D3" i="1"/>
  <c r="E3" i="1" s="1"/>
  <c r="S16" i="1" l="1"/>
  <c r="R16" i="1"/>
  <c r="V16" i="1"/>
  <c r="V12" i="1"/>
  <c r="S12" i="1"/>
  <c r="R12" i="1"/>
  <c r="U12" i="1" s="1"/>
  <c r="W12" i="1" s="1"/>
  <c r="U16" i="1"/>
  <c r="W16" i="1" s="1"/>
  <c r="V5" i="1"/>
  <c r="R5" i="1"/>
  <c r="S5" i="1"/>
  <c r="V6" i="1"/>
  <c r="S6" i="1"/>
  <c r="R6" i="1"/>
  <c r="U10" i="1"/>
  <c r="W10" i="1" s="1"/>
  <c r="U8" i="1"/>
  <c r="V4" i="1"/>
  <c r="R4" i="1"/>
  <c r="S4" i="1"/>
  <c r="R13" i="1"/>
  <c r="V13" i="1"/>
  <c r="S13" i="1"/>
  <c r="S3" i="1"/>
  <c r="V3" i="1"/>
  <c r="R3" i="1"/>
  <c r="U3" i="1" s="1"/>
  <c r="W3" i="1" s="1"/>
  <c r="R7" i="1"/>
  <c r="V7" i="1"/>
  <c r="S7" i="1"/>
  <c r="S11" i="1"/>
  <c r="R11" i="1"/>
  <c r="U11" i="1" s="1"/>
  <c r="V11" i="1"/>
  <c r="R17" i="1"/>
  <c r="S17" i="1"/>
  <c r="U4" i="1"/>
  <c r="S9" i="1"/>
  <c r="R9" i="1"/>
  <c r="U9" i="1" s="1"/>
  <c r="W9" i="1" s="1"/>
  <c r="T8" i="1" a="1"/>
  <c r="T8" i="1" s="1"/>
  <c r="Q15" i="1"/>
  <c r="Q17" i="1"/>
  <c r="P6" i="1"/>
  <c r="U6" i="1" s="1"/>
  <c r="W6" i="1" s="1"/>
  <c r="T15" i="1" a="1"/>
  <c r="T15" i="1" s="1"/>
  <c r="V17" i="1"/>
  <c r="S8" i="1"/>
  <c r="R8" i="1"/>
  <c r="S14" i="1"/>
  <c r="U14" i="1" s="1"/>
  <c r="W14" i="1" s="1"/>
  <c r="V14" i="1"/>
  <c r="R15" i="1"/>
  <c r="V15" i="1"/>
  <c r="T14" i="1" a="1"/>
  <c r="T14" i="1" s="1"/>
  <c r="S10" i="1"/>
  <c r="R10" i="1"/>
  <c r="P15" i="1"/>
  <c r="U5" i="1"/>
  <c r="V8" i="1"/>
  <c r="U13" i="1"/>
  <c r="W13" i="1" s="1"/>
  <c r="W8" i="1" l="1"/>
  <c r="W5" i="1"/>
  <c r="U17" i="1"/>
  <c r="W17" i="1" s="1"/>
  <c r="W11" i="1"/>
  <c r="U15" i="1"/>
  <c r="W15" i="1" s="1"/>
  <c r="X15" i="1" s="1"/>
  <c r="W4" i="1"/>
  <c r="AA4" i="1" s="1"/>
  <c r="U7" i="1"/>
  <c r="W7" i="1" s="1"/>
  <c r="Y7" i="1" s="1"/>
  <c r="X6" i="1"/>
  <c r="AC6" i="1"/>
  <c r="AB6" i="1"/>
  <c r="AA6" i="1"/>
  <c r="Z6" i="1"/>
  <c r="Y6" i="1"/>
  <c r="AC17" i="1"/>
  <c r="AB17" i="1"/>
  <c r="AA17" i="1"/>
  <c r="X17" i="1"/>
  <c r="Z17" i="1"/>
  <c r="Y17" i="1"/>
  <c r="X12" i="1"/>
  <c r="AB12" i="1"/>
  <c r="AA12" i="1"/>
  <c r="AC12" i="1"/>
  <c r="Z12" i="1"/>
  <c r="Y12" i="1"/>
  <c r="AA15" i="1"/>
  <c r="Y15" i="1"/>
  <c r="AB15" i="1"/>
  <c r="AC15" i="1"/>
  <c r="Z15" i="1"/>
  <c r="AC11" i="1"/>
  <c r="AB11" i="1"/>
  <c r="AA11" i="1"/>
  <c r="Z11" i="1"/>
  <c r="Y11" i="1"/>
  <c r="X11" i="1"/>
  <c r="AA9" i="1"/>
  <c r="Z9" i="1"/>
  <c r="Y9" i="1"/>
  <c r="X9" i="1"/>
  <c r="AC9" i="1"/>
  <c r="AB9" i="1"/>
  <c r="AC7" i="1"/>
  <c r="AA7" i="1"/>
  <c r="Z7" i="1"/>
  <c r="Z8" i="1"/>
  <c r="X8" i="1"/>
  <c r="Y8" i="1"/>
  <c r="AC8" i="1"/>
  <c r="AA8" i="1"/>
  <c r="AB8" i="1"/>
  <c r="Y13" i="1"/>
  <c r="AC13" i="1"/>
  <c r="AB13" i="1"/>
  <c r="X13" i="1"/>
  <c r="AA13" i="1"/>
  <c r="Z13" i="1"/>
  <c r="AB10" i="1"/>
  <c r="Z10" i="1"/>
  <c r="AA10" i="1"/>
  <c r="Y10" i="1"/>
  <c r="AC10" i="1"/>
  <c r="X10" i="1"/>
  <c r="AB4" i="1"/>
  <c r="X4" i="1"/>
  <c r="Z4" i="1"/>
  <c r="Y4" i="1"/>
  <c r="AC3" i="1"/>
  <c r="AA3" i="1"/>
  <c r="AB3" i="1"/>
  <c r="Z3" i="1"/>
  <c r="Y3" i="1"/>
  <c r="X3" i="1"/>
  <c r="AC5" i="1"/>
  <c r="AB5" i="1"/>
  <c r="Z5" i="1"/>
  <c r="X5" i="1"/>
  <c r="AA5" i="1"/>
  <c r="Y5" i="1"/>
  <c r="AB16" i="1"/>
  <c r="Z16" i="1"/>
  <c r="Y16" i="1"/>
  <c r="X16" i="1"/>
  <c r="AC16" i="1"/>
  <c r="AA16" i="1"/>
  <c r="Z14" i="1"/>
  <c r="X14" i="1"/>
  <c r="AC14" i="1"/>
  <c r="AA14" i="1"/>
  <c r="AB14" i="1"/>
  <c r="Y14" i="1"/>
  <c r="AB7" i="1" l="1"/>
  <c r="AC4" i="1"/>
  <c r="AD4" i="1" s="1"/>
  <c r="X7" i="1"/>
  <c r="AD7" i="1" s="1"/>
  <c r="AD11" i="1"/>
  <c r="AD3" i="1"/>
  <c r="AD14" i="1"/>
  <c r="AD12" i="1"/>
  <c r="AD8" i="1"/>
  <c r="AD15" i="1"/>
  <c r="AD5" i="1"/>
  <c r="AD10" i="1"/>
  <c r="AD13" i="1"/>
  <c r="AD16" i="1"/>
  <c r="AD9" i="1"/>
  <c r="AD17" i="1"/>
  <c r="AD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<sst xmlns="http://schemas.openxmlformats.org/spreadsheetml/2006/main" count="105" uniqueCount="101">
  <si>
    <t>No</t>
  </si>
  <si>
    <t>Nama</t>
  </si>
  <si>
    <t>No Pegawai</t>
  </si>
  <si>
    <t>Tanggal Lahir</t>
  </si>
  <si>
    <t>Umur (Tahun)</t>
  </si>
  <si>
    <t>Status Karyawan</t>
  </si>
  <si>
    <t>Status Pernikahan</t>
  </si>
  <si>
    <t>Jumlah Anak</t>
  </si>
  <si>
    <t>Agama</t>
  </si>
  <si>
    <t>Tanggal Masuk Kerja</t>
  </si>
  <si>
    <t>Lama Bekerja (Dalam Bulan)</t>
  </si>
  <si>
    <t>Jam Kerja</t>
  </si>
  <si>
    <t>Golongan</t>
  </si>
  <si>
    <t>Upah Normal</t>
  </si>
  <si>
    <t>Upah Lembur</t>
  </si>
  <si>
    <t>Tunjangan Anak</t>
  </si>
  <si>
    <t>Tunjangan Status</t>
  </si>
  <si>
    <t>Tunjangan Bonus</t>
  </si>
  <si>
    <t>Tunjangan Lauk Pauk</t>
  </si>
  <si>
    <t>Tunjangan Hari Raya</t>
  </si>
  <si>
    <t>Total Perolehan</t>
  </si>
  <si>
    <t>Iuran Koperasi</t>
  </si>
  <si>
    <t>Total Pendapatan Bersih</t>
  </si>
  <si>
    <t>Total Uang Sesuai Pecahan</t>
  </si>
  <si>
    <t>Andi</t>
  </si>
  <si>
    <t>KC07111992-H12071990-2-KS</t>
  </si>
  <si>
    <t>Roni</t>
  </si>
  <si>
    <t>KT29111996-I05051995-3-KB</t>
  </si>
  <si>
    <t>Dewi</t>
  </si>
  <si>
    <t>JC19091997-N20101995-4-DR</t>
  </si>
  <si>
    <t>Ana</t>
  </si>
  <si>
    <t>JC14091991-B01011980-1-AG</t>
  </si>
  <si>
    <t>Bambang</t>
  </si>
  <si>
    <t>KT15032004-I25072002-5-KB</t>
  </si>
  <si>
    <t>Yogi</t>
  </si>
  <si>
    <t>DL08081990-H14041988-0-AG</t>
  </si>
  <si>
    <t>Danu</t>
  </si>
  <si>
    <t>BC30102005-N08082003-2-KS</t>
  </si>
  <si>
    <t>Saraswati</t>
  </si>
  <si>
    <t>JC08061982-B19051980-3-KB</t>
  </si>
  <si>
    <t>Nurlaela</t>
  </si>
  <si>
    <t>KT11121998-I15081996-4-DR</t>
  </si>
  <si>
    <t>Kanita</t>
  </si>
  <si>
    <t>BC01072003-H30032001-1-AG</t>
  </si>
  <si>
    <t>Anandara</t>
  </si>
  <si>
    <t>KC10071986-N22121984-5-KB</t>
  </si>
  <si>
    <t>Budianto</t>
  </si>
  <si>
    <t>DC28121994-L09101992-0-KS</t>
  </si>
  <si>
    <t>Somantri</t>
  </si>
  <si>
    <t>KL09021999-I31031997-2-DR</t>
  </si>
  <si>
    <t>Atmaja</t>
  </si>
  <si>
    <t>BC11012001-H05041999-3-KB</t>
  </si>
  <si>
    <t>Kosasih</t>
  </si>
  <si>
    <t>DC12091992-N20081990-4-AG</t>
  </si>
  <si>
    <t>SOAL : Excel</t>
  </si>
  <si>
    <r>
      <t xml:space="preserve">Isi </t>
    </r>
    <r>
      <rPr>
        <b/>
        <sz val="11"/>
        <color theme="1"/>
        <rFont val="Aptos Narrow"/>
        <family val="2"/>
        <scheme val="minor"/>
      </rPr>
      <t>Tanggal Lahir</t>
    </r>
    <r>
      <rPr>
        <sz val="11"/>
        <color theme="1"/>
        <rFont val="Aptos Narrow"/>
        <family val="2"/>
        <charset val="1"/>
        <scheme val="minor"/>
      </rPr>
      <t xml:space="preserve"> berdasarkan No Pegawai</t>
    </r>
  </si>
  <si>
    <t>Table Bonus</t>
  </si>
  <si>
    <r>
      <t xml:space="preserve">isi </t>
    </r>
    <r>
      <rPr>
        <b/>
        <sz val="11"/>
        <color theme="1"/>
        <rFont val="Aptos Narrow"/>
        <family val="2"/>
        <scheme val="minor"/>
      </rPr>
      <t>Umur</t>
    </r>
    <r>
      <rPr>
        <sz val="11"/>
        <color theme="1"/>
        <rFont val="Aptos Narrow"/>
        <family val="2"/>
        <charset val="1"/>
        <scheme val="minor"/>
      </rPr>
      <t xml:space="preserve"> berdasarkan Tanggal lahir sampai 4 April 2025</t>
    </r>
  </si>
  <si>
    <t>Table Iuran Koperasi</t>
  </si>
  <si>
    <r>
      <t xml:space="preserve">Isi </t>
    </r>
    <r>
      <rPr>
        <b/>
        <sz val="11"/>
        <color theme="1"/>
        <rFont val="Aptos Narrow"/>
        <family val="2"/>
        <scheme val="minor"/>
      </rPr>
      <t>Status Karyawan</t>
    </r>
    <r>
      <rPr>
        <sz val="11"/>
        <color theme="1"/>
        <rFont val="Aptos Narrow"/>
        <family val="2"/>
        <charset val="1"/>
        <scheme val="minor"/>
      </rPr>
      <t xml:space="preserve"> berdasarkan No Pegawai</t>
    </r>
  </si>
  <si>
    <t>Bonus</t>
  </si>
  <si>
    <t xml:space="preserve">Golongan </t>
  </si>
  <si>
    <t>Iuran</t>
  </si>
  <si>
    <r>
      <t xml:space="preserve">Isi </t>
    </r>
    <r>
      <rPr>
        <b/>
        <sz val="11"/>
        <color theme="1"/>
        <rFont val="Aptos Narrow"/>
        <family val="2"/>
        <scheme val="minor"/>
      </rPr>
      <t>Status Pernikahan</t>
    </r>
    <r>
      <rPr>
        <sz val="11"/>
        <color theme="1"/>
        <rFont val="Aptos Narrow"/>
        <family val="2"/>
        <charset val="1"/>
        <scheme val="minor"/>
      </rPr>
      <t xml:space="preserve"> berdasarkan No Pegawai</t>
    </r>
  </si>
  <si>
    <r>
      <t xml:space="preserve">Isi </t>
    </r>
    <r>
      <rPr>
        <b/>
        <sz val="11"/>
        <color theme="1"/>
        <rFont val="Aptos Narrow"/>
        <family val="2"/>
        <scheme val="minor"/>
      </rPr>
      <t>Jumlah Anak</t>
    </r>
    <r>
      <rPr>
        <sz val="11"/>
        <color theme="1"/>
        <rFont val="Aptos Narrow"/>
        <family val="2"/>
        <charset val="1"/>
        <scheme val="minor"/>
      </rPr>
      <t xml:space="preserve"> berdasarkan No Pegawai</t>
    </r>
  </si>
  <si>
    <t>Table Tunjangan Lauk Pauk</t>
  </si>
  <si>
    <r>
      <t xml:space="preserve">Isi </t>
    </r>
    <r>
      <rPr>
        <b/>
        <sz val="11"/>
        <color theme="1"/>
        <rFont val="Aptos Narrow"/>
        <family val="2"/>
        <scheme val="minor"/>
      </rPr>
      <t>Agama</t>
    </r>
    <r>
      <rPr>
        <sz val="11"/>
        <color theme="1"/>
        <rFont val="Aptos Narrow"/>
        <family val="2"/>
        <charset val="1"/>
        <scheme val="minor"/>
      </rPr>
      <t xml:space="preserve"> berdasarkan No Pegawai</t>
    </r>
  </si>
  <si>
    <t>Golongan / Jab</t>
  </si>
  <si>
    <t>DR</t>
  </si>
  <si>
    <t>KB</t>
  </si>
  <si>
    <t>KS</t>
  </si>
  <si>
    <t>AG</t>
  </si>
  <si>
    <r>
      <t xml:space="preserve">Isi </t>
    </r>
    <r>
      <rPr>
        <b/>
        <sz val="11"/>
        <color theme="1"/>
        <rFont val="Aptos Narrow"/>
        <family val="2"/>
        <scheme val="minor"/>
      </rPr>
      <t>Tanggal Masuk Kerja</t>
    </r>
    <r>
      <rPr>
        <sz val="11"/>
        <color theme="1"/>
        <rFont val="Aptos Narrow"/>
        <family val="2"/>
        <charset val="1"/>
        <scheme val="minor"/>
      </rPr>
      <t xml:space="preserve"> berdasarkan No Pegawai</t>
    </r>
  </si>
  <si>
    <r>
      <t xml:space="preserve">isi </t>
    </r>
    <r>
      <rPr>
        <b/>
        <sz val="11"/>
        <color theme="1"/>
        <rFont val="Aptos Narrow"/>
        <family val="2"/>
        <scheme val="minor"/>
      </rPr>
      <t xml:space="preserve">Lama Bekerja </t>
    </r>
    <r>
      <rPr>
        <sz val="11"/>
        <color theme="1"/>
        <rFont val="Aptos Narrow"/>
        <family val="2"/>
        <charset val="1"/>
        <scheme val="minor"/>
      </rPr>
      <t>berdasarkan Tanggal masuk kerja sampai 4 April 2025 (Dalam bulan)</t>
    </r>
  </si>
  <si>
    <r>
      <rPr>
        <b/>
        <sz val="11"/>
        <color theme="1"/>
        <rFont val="Aptos Narrow"/>
        <family val="2"/>
        <scheme val="minor"/>
      </rPr>
      <t>Golongan</t>
    </r>
    <r>
      <rPr>
        <sz val="11"/>
        <color theme="1"/>
        <rFont val="Aptos Narrow"/>
        <family val="2"/>
        <charset val="1"/>
        <scheme val="minor"/>
      </rPr>
      <t xml:space="preserve"> ditentukan berdasarkan lama kerja sampai saat ini:</t>
    </r>
  </si>
  <si>
    <t>- Jika masa kerja di atas 432 bulan adalah golongan 4</t>
  </si>
  <si>
    <t>- Jika masa kerja di &gt;=372 bulan dan &lt;=432 bulan adalah golongan 3</t>
  </si>
  <si>
    <t>- Jika masa kerja di &gt;=300 bulan dan &lt;372 bulan adalah golongan 2</t>
  </si>
  <si>
    <t>-selain itu Golongan 1</t>
  </si>
  <si>
    <t>Jam kerja normal per bulan adalah 200 jam</t>
  </si>
  <si>
    <r>
      <rPr>
        <b/>
        <sz val="11"/>
        <color theme="1"/>
        <rFont val="Aptos Narrow"/>
        <family val="2"/>
        <scheme val="minor"/>
      </rPr>
      <t>Upah Normal</t>
    </r>
    <r>
      <rPr>
        <sz val="11"/>
        <color theme="1"/>
        <rFont val="Aptos Narrow"/>
        <family val="2"/>
        <charset val="1"/>
        <scheme val="minor"/>
      </rPr>
      <t xml:space="preserve"> (jam normal dikalikan tarif jam kerja normal Rp.9.555/jam)</t>
    </r>
  </si>
  <si>
    <r>
      <rPr>
        <b/>
        <sz val="11"/>
        <color theme="1"/>
        <rFont val="Aptos Narrow"/>
        <family val="2"/>
        <scheme val="minor"/>
      </rPr>
      <t>Upah lembur</t>
    </r>
    <r>
      <rPr>
        <sz val="11"/>
        <color theme="1"/>
        <rFont val="Aptos Narrow"/>
        <family val="2"/>
        <charset val="1"/>
        <scheme val="minor"/>
      </rPr>
      <t xml:space="preserve"> (kelebihan dari jam kerja normal dikalikan dengan tarif lembur Rp.35.555/jam) dengan ketentuan sebagai berikut:</t>
    </r>
  </si>
  <si>
    <t>- 10 Jam pertama adalah 100% dari tarif lembur</t>
  </si>
  <si>
    <t>- kelebihan di atas 10 jam dibayar 110% dari tarif lembur.</t>
  </si>
  <si>
    <r>
      <rPr>
        <b/>
        <sz val="11"/>
        <color theme="1"/>
        <rFont val="Aptos Narrow"/>
        <family val="2"/>
        <scheme val="minor"/>
      </rPr>
      <t>Tunjangan anak</t>
    </r>
    <r>
      <rPr>
        <sz val="11"/>
        <color theme="1"/>
        <rFont val="Aptos Narrow"/>
        <family val="2"/>
        <charset val="1"/>
        <scheme val="minor"/>
      </rPr>
      <t xml:space="preserve"> 10% dari Upah normal maksimal untuk 3 anak saja, selebihnya dari 3 anak tidak mendapat tunjangan</t>
    </r>
  </si>
  <si>
    <r>
      <rPr>
        <b/>
        <sz val="11"/>
        <color theme="1"/>
        <rFont val="Aptos Narrow"/>
        <family val="2"/>
        <scheme val="minor"/>
      </rPr>
      <t>Tunjangan status</t>
    </r>
    <r>
      <rPr>
        <sz val="11"/>
        <color theme="1"/>
        <rFont val="Aptos Narrow"/>
        <family val="2"/>
        <charset val="1"/>
        <scheme val="minor"/>
      </rPr>
      <t xml:space="preserve"> 5% dari upah normal untuk Kawin, Duda dan Janda. Sedangkan yang belum kawin tidak mendapat tunjangan status</t>
    </r>
  </si>
  <si>
    <r>
      <rPr>
        <b/>
        <sz val="11"/>
        <color theme="1"/>
        <rFont val="Aptos Narrow"/>
        <family val="2"/>
        <scheme val="minor"/>
      </rPr>
      <t>Tunjangan bonus</t>
    </r>
    <r>
      <rPr>
        <sz val="11"/>
        <color theme="1"/>
        <rFont val="Aptos Narrow"/>
        <family val="2"/>
        <charset val="1"/>
        <scheme val="minor"/>
      </rPr>
      <t xml:space="preserve"> dihitung prosentase dari dari upah normal (lihat Table Bonus)</t>
    </r>
  </si>
  <si>
    <r>
      <rPr>
        <b/>
        <sz val="11"/>
        <color theme="1"/>
        <rFont val="Aptos Narrow"/>
        <family val="2"/>
        <scheme val="minor"/>
      </rPr>
      <t>Tunjangan lauk pauk</t>
    </r>
    <r>
      <rPr>
        <sz val="11"/>
        <color theme="1"/>
        <rFont val="Aptos Narrow"/>
        <family val="2"/>
        <charset val="1"/>
        <scheme val="minor"/>
      </rPr>
      <t>, berdasarkan jabatan dan golongan dari upah normal (lihat table Tunjangan Lauk Pauk):</t>
    </r>
  </si>
  <si>
    <r>
      <rPr>
        <b/>
        <sz val="11"/>
        <color theme="1"/>
        <rFont val="Aptos Narrow"/>
        <family val="2"/>
        <scheme val="minor"/>
      </rPr>
      <t>Tunjangan hari raya</t>
    </r>
    <r>
      <rPr>
        <sz val="11"/>
        <color theme="1"/>
        <rFont val="Aptos Narrow"/>
        <family val="2"/>
        <charset val="1"/>
        <scheme val="minor"/>
      </rPr>
      <t xml:space="preserve"> (THR) diberikan sebagai berikut, dihitung dari upah normal, yang merayakan Idul fitri 10%; Natal 10,2%, dan lainnya 10,3%</t>
    </r>
  </si>
  <si>
    <r>
      <rPr>
        <b/>
        <sz val="11"/>
        <color theme="1"/>
        <rFont val="Aptos Narrow"/>
        <family val="2"/>
        <scheme val="minor"/>
      </rPr>
      <t>Total Perolehan</t>
    </r>
    <r>
      <rPr>
        <sz val="11"/>
        <color theme="1"/>
        <rFont val="Aptos Narrow"/>
        <family val="2"/>
        <charset val="1"/>
        <scheme val="minor"/>
      </rPr>
      <t>, dijumlahkan seluruh penerimaan dengan pembulatan ke atas ribuan penuh</t>
    </r>
  </si>
  <si>
    <t>Misal : 2.345.352,55 Menjadi 2.346.000,00</t>
  </si>
  <si>
    <r>
      <t xml:space="preserve">Potongan </t>
    </r>
    <r>
      <rPr>
        <b/>
        <sz val="11"/>
        <color theme="1"/>
        <rFont val="Aptos Narrow"/>
        <family val="2"/>
        <scheme val="minor"/>
      </rPr>
      <t>iuran koperasi</t>
    </r>
    <r>
      <rPr>
        <sz val="11"/>
        <color theme="1"/>
        <rFont val="Aptos Narrow"/>
        <family val="2"/>
        <charset val="1"/>
        <scheme val="minor"/>
      </rPr>
      <t xml:space="preserve"> dihitung dari upah normal berdasarkan Table Koperasi</t>
    </r>
  </si>
  <si>
    <r>
      <t xml:space="preserve">Total </t>
    </r>
    <r>
      <rPr>
        <b/>
        <sz val="11"/>
        <color theme="1"/>
        <rFont val="Aptos Narrow"/>
        <family val="2"/>
        <scheme val="minor"/>
      </rPr>
      <t>Pendapatan bersih</t>
    </r>
    <r>
      <rPr>
        <sz val="11"/>
        <color theme="1"/>
        <rFont val="Aptos Narrow"/>
        <family val="2"/>
        <charset val="1"/>
        <scheme val="minor"/>
      </rPr>
      <t>, pembulatan ke bawah menjadi ribuan penuh</t>
    </r>
  </si>
  <si>
    <t>Misal : 2.345.352,55 Menjadi 2.345.000,00</t>
  </si>
  <si>
    <t>Berapa lembar Untuk setiap karyawan pecahan uang yang harus disiapkan</t>
  </si>
  <si>
    <t>Arti Kode Pagawai</t>
  </si>
  <si>
    <t>K</t>
  </si>
  <si>
    <t>C</t>
  </si>
  <si>
    <t>-</t>
  </si>
  <si>
    <t>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</si>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</sst>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&quot;Pecahan &quot;\ 0,000"/>
    <numFmt numFmtId="167" formatCode="0.0%"/>
  </numFmts>
  <fonts count="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rgb="FFFFC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165" fontId="3" fillId="0" borderId="0" xfId="1" applyNumberFormat="1" applyFont="1"/>
    <xf numFmtId="0" fontId="0" fillId="2" borderId="1" xfId="0" applyFill="1" applyBorder="1" applyAlignment="1">
      <alignment horizontal="center" vertical="center" wrapText="1"/>
    </xf>
    <xf numFmtId="166" fontId="0" fillId="3" borderId="2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indent="1"/>
    </xf>
    <xf numFmtId="0" fontId="0" fillId="5" borderId="1" xfId="0" applyFill="1" applyBorder="1"/>
    <xf numFmtId="0" fontId="0" fillId="5" borderId="1" xfId="0" applyFill="1" applyBorder="1" applyAlignment="1">
      <alignment horizontal="left" indent="2"/>
    </xf>
    <xf numFmtId="14" fontId="0" fillId="5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 applyAlignment="1">
      <alignment horizontal="center"/>
    </xf>
    <xf numFmtId="41" fontId="0" fillId="5" borderId="1" xfId="2" applyFont="1" applyFill="1" applyBorder="1"/>
    <xf numFmtId="165" fontId="0" fillId="5" borderId="1" xfId="0" applyNumberFormat="1" applyFill="1" applyBorder="1"/>
    <xf numFmtId="164" fontId="0" fillId="5" borderId="1" xfId="0" applyNumberFormat="1" applyFill="1" applyBorder="1"/>
    <xf numFmtId="1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0" fillId="3" borderId="3" xfId="0" applyFill="1" applyBorder="1"/>
    <xf numFmtId="0" fontId="0" fillId="9" borderId="3" xfId="0" applyFill="1" applyBorder="1" applyAlignment="1">
      <alignment horizontal="center"/>
    </xf>
    <xf numFmtId="9" fontId="0" fillId="7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7" fontId="0" fillId="7" borderId="3" xfId="0" applyNumberForma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27</xdr:col>
      <xdr:colOff>560780</xdr:colOff>
      <xdr:row>22</xdr:row>
      <xdr:rowOff>142167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905C7-9297-46EE-9124-A47AA6274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260" y="1599870"/>
          <a:ext cx="7125195" cy="2682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BF24-7C94-4C3F-ACF7-F7733654E434}">
  <dimension ref="A1:AD55"/>
  <sheetViews>
    <sheetView tabSelected="1" topLeftCell="A2" workbookViewId="0">
      <selection activeCell="O7" sqref="O7"/>
    </sheetView>
  </sheetViews>
  <sheetFormatPr defaultRowHeight="14.5" x14ac:dyDescent="0.35"/>
  <cols>
    <col min="1" max="1" width="3.90625" bestFit="1" customWidth="1"/>
    <col min="3" max="3" width="28.453125" bestFit="1" customWidth="1"/>
    <col min="4" max="4" width="10.08984375" bestFit="1" customWidth="1"/>
    <col min="5" max="5" width="7" bestFit="1" customWidth="1"/>
    <col min="6" max="6" width="8.54296875" bestFit="1" customWidth="1"/>
    <col min="7" max="7" width="11" bestFit="1" customWidth="1"/>
    <col min="8" max="8" width="12.453125" bestFit="1" customWidth="1"/>
    <col min="9" max="9" width="7.08984375" bestFit="1" customWidth="1"/>
    <col min="10" max="10" width="10.08984375" bestFit="1" customWidth="1"/>
    <col min="11" max="11" width="6.90625" bestFit="1" customWidth="1"/>
    <col min="12" max="13" width="8.453125" bestFit="1" customWidth="1"/>
    <col min="14" max="15" width="10.1796875" bestFit="1" customWidth="1"/>
    <col min="16" max="16" width="8.6328125" bestFit="1" customWidth="1"/>
    <col min="17" max="17" width="8.08984375" bestFit="1" customWidth="1"/>
    <col min="18" max="20" width="8.6328125" bestFit="1" customWidth="1"/>
    <col min="21" max="21" width="10.1796875" bestFit="1" customWidth="1"/>
    <col min="22" max="22" width="7.81640625" bestFit="1" customWidth="1"/>
    <col min="23" max="23" width="12.7265625" bestFit="1" customWidth="1"/>
    <col min="24" max="24" width="15.26953125" bestFit="1" customWidth="1"/>
    <col min="25" max="27" width="14.26953125" bestFit="1" customWidth="1"/>
    <col min="28" max="29" width="13.26953125" bestFit="1" customWidth="1"/>
    <col min="30" max="30" width="12.7265625" bestFit="1" customWidth="1"/>
  </cols>
  <sheetData>
    <row r="1" spans="1:30" x14ac:dyDescent="0.3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2"/>
      <c r="Y1" s="2"/>
      <c r="Z1" s="2"/>
      <c r="AA1" s="2"/>
      <c r="AB1" s="2"/>
      <c r="AC1" s="2"/>
    </row>
    <row r="2" spans="1:30" ht="58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4">
        <v>100000</v>
      </c>
      <c r="Y2" s="4">
        <v>50000</v>
      </c>
      <c r="Z2" s="4">
        <v>20000</v>
      </c>
      <c r="AA2" s="4">
        <v>10000</v>
      </c>
      <c r="AB2" s="4">
        <v>5000</v>
      </c>
      <c r="AC2" s="4">
        <v>1000</v>
      </c>
      <c r="AD2" s="5" t="s">
        <v>23</v>
      </c>
    </row>
    <row r="3" spans="1:30" x14ac:dyDescent="0.35">
      <c r="A3" s="6">
        <v>1</v>
      </c>
      <c r="B3" s="7" t="s">
        <v>24</v>
      </c>
      <c r="C3" s="8" t="s">
        <v>25</v>
      </c>
      <c r="D3" s="9">
        <f>DATE(MID(C3,17,4),MID(C3,15,2),MID(C3,13,2))</f>
        <v>33066</v>
      </c>
      <c r="E3" s="10">
        <f>DATEDIF(D3,"04/04/2025","Y")</f>
        <v>34</v>
      </c>
      <c r="F3" s="7" t="str">
        <f>IF(MID(C3,2,1)="T","Tetap",IF(MID(C3,2,1)="C","Kontrak",IF(MID(C3,2,1)="L","Lepas","Lainnya")))</f>
        <v>Kontrak</v>
      </c>
      <c r="G3" s="7" t="str" cm="1">
        <f t="array" ref="G3">_xlfn.IFS(LEFT(C3,1)="K","Kawin",LEFT(C3,1)="D","Duda",LEFT(C3,1)="J","Janda",TRUE,"Belum Kawin")</f>
        <v>Kawin</v>
      </c>
      <c r="H3" s="7">
        <f>_xlfn.NUMBERVALUE(MID(C3,22,1))</f>
        <v>2</v>
      </c>
      <c r="I3" s="7" t="str" cm="1">
        <f t="array" ref="I3">_xlfn.IFS(MID(C3,12,1)="I","Islam",MID(C3,12,1)="H","Hindu",MID(C3,12,1)="B","Buddha",MID(C3,12,1)="N","Nasrani",TRUE,"Lainnya")</f>
        <v>Hindu</v>
      </c>
      <c r="J3" s="9">
        <f>DATE(MID(C3,7,4),MID(C3,5,2),MID(C3,3,2))</f>
        <v>33915</v>
      </c>
      <c r="K3" s="7">
        <f>DATEDIF(J3,"04/04/2025","M")</f>
        <v>388</v>
      </c>
      <c r="L3" s="11">
        <v>209</v>
      </c>
      <c r="M3" s="7" cm="1">
        <f t="array" ref="M3">_xlfn.IFS(K3&gt;432,4,K3&gt;=372,3,K3&gt;=300,2,TRUE,1)</f>
        <v>3</v>
      </c>
      <c r="N3" s="12">
        <f>IF(L3&lt;=200,L3*9555,200*9555)</f>
        <v>1911000</v>
      </c>
      <c r="O3" s="12" cm="1">
        <f t="array" ref="O3">_xlfn.IFS(L3&lt;=200,0,L3&lt;=210,(L3-200)*35555,TRUE,355550+(L3-210)*35555*110%)</f>
        <v>319995</v>
      </c>
      <c r="P3" s="12">
        <f>IF(AND(H3&gt;0,H3&lt;4),N3*10%,0)</f>
        <v>191100</v>
      </c>
      <c r="Q3" s="12">
        <f>IF(OR(G3="Kawin",G3="Duda",G3="Janda"),N3*5%,0)</f>
        <v>95550</v>
      </c>
      <c r="R3" s="12">
        <f>HLOOKUP(M3,$I$28:$L$29,2,0)*N3</f>
        <v>171990</v>
      </c>
      <c r="S3" s="12">
        <f>INDEX($I$33:$L$36,MATCH(M3,$H$33:$H$36,0),MATCH(RIGHT(C3,2),$I$32:$L$32,0))*N3</f>
        <v>191100</v>
      </c>
      <c r="T3" s="12" cm="1">
        <f t="array" ref="T3">_xlfn.IFS(I3="Islam",N3*10%,I3="Nasrani",N3*10.2%,TRUE,N3*10.3%)</f>
        <v>196833.00000000003</v>
      </c>
      <c r="U3" s="13">
        <f>ROUNDUP(SUM(N3:T3),-3)</f>
        <v>3078000</v>
      </c>
      <c r="V3" s="12">
        <f>VLOOKUP(M3,$N$30:$O$33,2,0)*N3</f>
        <v>76440</v>
      </c>
      <c r="W3" s="14">
        <f>FLOOR(U3-V3,1000)</f>
        <v>3001000</v>
      </c>
      <c r="X3" s="15">
        <f>INT(W3/100000)</f>
        <v>30</v>
      </c>
      <c r="Y3" s="15">
        <f>INT(MOD(W3,100000)/50000)</f>
        <v>0</v>
      </c>
      <c r="Z3" s="15">
        <f>INT(MOD(MOD(W3,100000),50000)/20000)</f>
        <v>0</v>
      </c>
      <c r="AA3" s="15">
        <f>INT(MOD(MOD(MOD(W3,100000),50000),20000)/10000)</f>
        <v>0</v>
      </c>
      <c r="AB3" s="15">
        <f>INT(MOD(MOD(MOD(MOD(W3,100000),50000),20000),10000)/5000)</f>
        <v>0</v>
      </c>
      <c r="AC3" s="15">
        <f>INT(MOD(MOD(MOD(MOD(MOD(W3,100000),50000),20000),10000),5000)/1000)</f>
        <v>1</v>
      </c>
      <c r="AD3" s="16">
        <f>X3*100000+Y3*50000+Z3*20000+AA3*10000+AB3*5000+AC3*1000</f>
        <v>3001000</v>
      </c>
    </row>
    <row r="4" spans="1:30" x14ac:dyDescent="0.35">
      <c r="A4" s="6">
        <v>2</v>
      </c>
      <c r="B4" s="7" t="s">
        <v>26</v>
      </c>
      <c r="C4" s="8" t="s">
        <v>27</v>
      </c>
      <c r="D4" s="9">
        <f t="shared" ref="D4:D17" si="0">DATE(MID(C4,17,4),MID(C4,15,2),MID(C4,13,2))</f>
        <v>34824</v>
      </c>
      <c r="E4" s="10">
        <f t="shared" ref="E4:E17" si="1">DATEDIF(D4,"04/04/2025","Y")</f>
        <v>29</v>
      </c>
      <c r="F4" s="7" t="str">
        <f t="shared" ref="F4:F17" si="2">IF(MID(C4,2,1)="T","Tetap",IF(MID(C4,2,1)="C","Kontrak",IF(MID(C4,2,1)="L","Lepas","Lainnya")))</f>
        <v>Tetap</v>
      </c>
      <c r="G4" s="7" t="str" cm="1">
        <f t="array" ref="G4">_xlfn.IFS(LEFT(C4,1)="K","Kawin",LEFT(C4,1)="D","Duda",LEFT(C4,1)="J","Janda",TRUE,"Belum Kawin")</f>
        <v>Kawin</v>
      </c>
      <c r="H4" s="7">
        <f t="shared" ref="H4:H17" si="3">_xlfn.NUMBERVALUE(MID(C4,22,1))</f>
        <v>3</v>
      </c>
      <c r="I4" s="7" t="str" cm="1">
        <f t="array" ref="I4">_xlfn.IFS(MID(C4,12,1)="I","Islam",MID(C4,12,1)="H","Hindu",MID(C4,12,1)="B","Buddha",MID(C4,12,1)="N","Nasrani",TRUE,"Lainnya")</f>
        <v>Islam</v>
      </c>
      <c r="J4" s="9">
        <f t="shared" ref="J4:J17" si="4">DATE(MID(C4,7,4),MID(C4,5,2),MID(C4,3,2))</f>
        <v>35398</v>
      </c>
      <c r="K4" s="7">
        <f t="shared" ref="K4:K17" si="5">DATEDIF(J4,"04/04/2025","M")</f>
        <v>340</v>
      </c>
      <c r="L4" s="11">
        <v>111</v>
      </c>
      <c r="M4" s="7" cm="1">
        <f t="array" ref="M4">_xlfn.IFS(K4&gt;432,4,K4&gt;=372,3,K4&gt;=300,2,TRUE,1)</f>
        <v>2</v>
      </c>
      <c r="N4" s="12">
        <f t="shared" ref="N4:N17" si="6">IF(L4&lt;=200,L4*9555,200*9555)</f>
        <v>1060605</v>
      </c>
      <c r="O4" s="12" cm="1">
        <f t="array" ref="O4">_xlfn.IFS(L4&lt;=200,0,L4&lt;=210,(L4-200)*35555,TRUE,355550+(L4-210)*35555*110%)</f>
        <v>0</v>
      </c>
      <c r="P4" s="12">
        <f t="shared" ref="P4:P17" si="7">IF(AND(H4&gt;0,H4&lt;4),N4*10%,0)</f>
        <v>106060.5</v>
      </c>
      <c r="Q4" s="12">
        <f t="shared" ref="Q4:Q17" si="8">IF(OR(G4="Kawin",G4="Duda",G4="Janda"),N4*5%,0)</f>
        <v>53030.25</v>
      </c>
      <c r="R4" s="12">
        <f t="shared" ref="R4:R17" si="9">HLOOKUP(M4,$I$28:$L$29,2,0)*N4</f>
        <v>84848.400000000009</v>
      </c>
      <c r="S4" s="12">
        <f t="shared" ref="S4:S17" si="10">INDEX($I$33:$L$36,MATCH(M4,$H$33:$H$36,0),MATCH(RIGHT(C4,2),$I$32:$L$32,0))*N4</f>
        <v>79545.375</v>
      </c>
      <c r="T4" s="12" cm="1">
        <f t="array" ref="T4">_xlfn.IFS(I4="Islam",N4*10%,I4="Nasrani",N4*10.2%,TRUE,N4*10.3%)</f>
        <v>106060.5</v>
      </c>
      <c r="U4" s="13">
        <f t="shared" ref="U4:U17" si="11">ROUNDUP(SUM(N4:T4),-3)</f>
        <v>1491000</v>
      </c>
      <c r="V4" s="12">
        <f t="shared" ref="V4:V17" si="12">VLOOKUP(M4,$N$30:$O$33,2,0)*N4</f>
        <v>31818.149999999998</v>
      </c>
      <c r="W4" s="14">
        <f t="shared" ref="W4:W17" si="13">FLOOR(U4-V4,1000)</f>
        <v>1459000</v>
      </c>
      <c r="X4" s="15">
        <f t="shared" ref="X4:X17" si="14">INT(W4/100000)</f>
        <v>14</v>
      </c>
      <c r="Y4" s="15">
        <f t="shared" ref="Y4:Y17" si="15">INT(MOD(W4,100000)/50000)</f>
        <v>1</v>
      </c>
      <c r="Z4" s="15">
        <f t="shared" ref="Z4:Z17" si="16">INT(MOD(MOD(W4,100000),50000)/20000)</f>
        <v>0</v>
      </c>
      <c r="AA4" s="15">
        <f t="shared" ref="AA4:AA17" si="17">INT(MOD(MOD(MOD(W4,100000),50000),20000)/10000)</f>
        <v>0</v>
      </c>
      <c r="AB4" s="15">
        <f t="shared" ref="AB4:AB17" si="18">INT(MOD(MOD(MOD(MOD(W4,100000),50000),20000),10000)/5000)</f>
        <v>1</v>
      </c>
      <c r="AC4" s="15">
        <f t="shared" ref="AC4:AC17" si="19">INT(MOD(MOD(MOD(MOD(MOD(W4,100000),50000),20000),10000),5000)/1000)</f>
        <v>4</v>
      </c>
      <c r="AD4" s="16">
        <f t="shared" ref="AD4:AD17" si="20">X4*100000+Y4*50000+Z4*20000+AA4*10000+AB4*5000+AC4*1000</f>
        <v>1459000</v>
      </c>
    </row>
    <row r="5" spans="1:30" x14ac:dyDescent="0.35">
      <c r="A5" s="6">
        <v>3</v>
      </c>
      <c r="B5" s="7" t="s">
        <v>28</v>
      </c>
      <c r="C5" s="8" t="s">
        <v>29</v>
      </c>
      <c r="D5" s="9">
        <f t="shared" si="0"/>
        <v>34992</v>
      </c>
      <c r="E5" s="10">
        <f t="shared" si="1"/>
        <v>29</v>
      </c>
      <c r="F5" s="7" t="str">
        <f t="shared" si="2"/>
        <v>Kontrak</v>
      </c>
      <c r="G5" s="7" t="str" cm="1">
        <f t="array" ref="G5">_xlfn.IFS(LEFT(C5,1)="K","Kawin",LEFT(C5,1)="D","Duda",LEFT(C5,1)="J","Janda",TRUE,"Belum Kawin")</f>
        <v>Janda</v>
      </c>
      <c r="H5" s="7">
        <f t="shared" si="3"/>
        <v>4</v>
      </c>
      <c r="I5" s="7" t="str" cm="1">
        <f t="array" ref="I5">_xlfn.IFS(MID(C5,12,1)="I","Islam",MID(C5,12,1)="H","Hindu",MID(C5,12,1)="B","Buddha",MID(C5,12,1)="N","Nasrani",TRUE,"Lainnya")</f>
        <v>Nasrani</v>
      </c>
      <c r="J5" s="9">
        <f t="shared" si="4"/>
        <v>35692</v>
      </c>
      <c r="K5" s="7">
        <f t="shared" si="5"/>
        <v>330</v>
      </c>
      <c r="L5" s="11">
        <v>129</v>
      </c>
      <c r="M5" s="7" cm="1">
        <f t="array" ref="M5">_xlfn.IFS(K5&gt;432,4,K5&gt;=372,3,K5&gt;=300,2,TRUE,1)</f>
        <v>2</v>
      </c>
      <c r="N5" s="12">
        <f t="shared" si="6"/>
        <v>1232595</v>
      </c>
      <c r="O5" s="12" cm="1">
        <f t="array" ref="O5">_xlfn.IFS(L5&lt;=200,0,L5&lt;=210,(L5-200)*35555,TRUE,355550+(L5-210)*35555*110%)</f>
        <v>0</v>
      </c>
      <c r="P5" s="12">
        <f t="shared" si="7"/>
        <v>0</v>
      </c>
      <c r="Q5" s="12">
        <f t="shared" si="8"/>
        <v>61629.75</v>
      </c>
      <c r="R5" s="12">
        <f t="shared" si="9"/>
        <v>98607.6</v>
      </c>
      <c r="S5" s="12">
        <f t="shared" si="10"/>
        <v>86281.650000000009</v>
      </c>
      <c r="T5" s="12" cm="1">
        <f t="array" ref="T5">_xlfn.IFS(I5="Islam",N5*10%,I5="Nasrani",N5*10.2%,TRUE,N5*10.3%)</f>
        <v>125724.68999999999</v>
      </c>
      <c r="U5" s="13">
        <f t="shared" si="11"/>
        <v>1605000</v>
      </c>
      <c r="V5" s="12">
        <f t="shared" si="12"/>
        <v>36977.85</v>
      </c>
      <c r="W5" s="14">
        <f t="shared" si="13"/>
        <v>1568000</v>
      </c>
      <c r="X5" s="15">
        <f t="shared" si="14"/>
        <v>15</v>
      </c>
      <c r="Y5" s="15">
        <f t="shared" si="15"/>
        <v>1</v>
      </c>
      <c r="Z5" s="15">
        <f t="shared" si="16"/>
        <v>0</v>
      </c>
      <c r="AA5" s="15">
        <f t="shared" si="17"/>
        <v>1</v>
      </c>
      <c r="AB5" s="15">
        <f t="shared" si="18"/>
        <v>1</v>
      </c>
      <c r="AC5" s="15">
        <f t="shared" si="19"/>
        <v>3</v>
      </c>
      <c r="AD5" s="16">
        <f t="shared" si="20"/>
        <v>1568000</v>
      </c>
    </row>
    <row r="6" spans="1:30" x14ac:dyDescent="0.35">
      <c r="A6" s="6">
        <v>4</v>
      </c>
      <c r="B6" s="7" t="s">
        <v>30</v>
      </c>
      <c r="C6" s="8" t="s">
        <v>31</v>
      </c>
      <c r="D6" s="9">
        <f t="shared" si="0"/>
        <v>29221</v>
      </c>
      <c r="E6" s="10">
        <f t="shared" si="1"/>
        <v>45</v>
      </c>
      <c r="F6" s="7" t="str">
        <f t="shared" si="2"/>
        <v>Kontrak</v>
      </c>
      <c r="G6" s="7" t="str" cm="1">
        <f t="array" ref="G6">_xlfn.IFS(LEFT(C6,1)="K","Kawin",LEFT(C6,1)="D","Duda",LEFT(C6,1)="J","Janda",TRUE,"Belum Kawin")</f>
        <v>Janda</v>
      </c>
      <c r="H6" s="7">
        <f t="shared" si="3"/>
        <v>1</v>
      </c>
      <c r="I6" s="7" t="str" cm="1">
        <f t="array" ref="I6">_xlfn.IFS(MID(C6,12,1)="I","Islam",MID(C6,12,1)="H","Hindu",MID(C6,12,1)="B","Buddha",MID(C6,12,1)="N","Nasrani",TRUE,"Lainnya")</f>
        <v>Buddha</v>
      </c>
      <c r="J6" s="9">
        <f t="shared" si="4"/>
        <v>33495</v>
      </c>
      <c r="K6" s="7">
        <f t="shared" si="5"/>
        <v>402</v>
      </c>
      <c r="L6" s="11">
        <v>227</v>
      </c>
      <c r="M6" s="7" cm="1">
        <f t="array" ref="M6">_xlfn.IFS(K6&gt;432,4,K6&gt;=372,3,K6&gt;=300,2,TRUE,1)</f>
        <v>3</v>
      </c>
      <c r="N6" s="12">
        <f t="shared" si="6"/>
        <v>1911000</v>
      </c>
      <c r="O6" s="12" cm="1">
        <f t="array" ref="O6">_xlfn.IFS(L6&lt;=200,0,L6&lt;=210,(L6-200)*35555,TRUE,355550+(L6-210)*35555*110%)</f>
        <v>1020428.5</v>
      </c>
      <c r="P6" s="12">
        <f t="shared" si="7"/>
        <v>191100</v>
      </c>
      <c r="Q6" s="12">
        <f t="shared" si="8"/>
        <v>95550</v>
      </c>
      <c r="R6" s="12">
        <f t="shared" si="9"/>
        <v>171990</v>
      </c>
      <c r="S6" s="12">
        <f t="shared" si="10"/>
        <v>200655</v>
      </c>
      <c r="T6" s="12" cm="1">
        <f t="array" ref="T6">_xlfn.IFS(I6="Islam",N6*10%,I6="Nasrani",N6*10.2%,TRUE,N6*10.3%)</f>
        <v>196833.00000000003</v>
      </c>
      <c r="U6" s="13">
        <f t="shared" si="11"/>
        <v>3788000</v>
      </c>
      <c r="V6" s="12">
        <f t="shared" si="12"/>
        <v>76440</v>
      </c>
      <c r="W6" s="14">
        <f t="shared" si="13"/>
        <v>3711000</v>
      </c>
      <c r="X6" s="15">
        <f t="shared" si="14"/>
        <v>37</v>
      </c>
      <c r="Y6" s="15">
        <f t="shared" si="15"/>
        <v>0</v>
      </c>
      <c r="Z6" s="15">
        <f t="shared" si="16"/>
        <v>0</v>
      </c>
      <c r="AA6" s="15">
        <f t="shared" si="17"/>
        <v>1</v>
      </c>
      <c r="AB6" s="15">
        <f t="shared" si="18"/>
        <v>0</v>
      </c>
      <c r="AC6" s="15">
        <f t="shared" si="19"/>
        <v>1</v>
      </c>
      <c r="AD6" s="16">
        <f t="shared" si="20"/>
        <v>3711000</v>
      </c>
    </row>
    <row r="7" spans="1:30" x14ac:dyDescent="0.35">
      <c r="A7" s="6">
        <v>5</v>
      </c>
      <c r="B7" s="7" t="s">
        <v>32</v>
      </c>
      <c r="C7" s="8" t="s">
        <v>33</v>
      </c>
      <c r="D7" s="9">
        <f t="shared" si="0"/>
        <v>37462</v>
      </c>
      <c r="E7" s="10">
        <f t="shared" si="1"/>
        <v>22</v>
      </c>
      <c r="F7" s="7" t="str">
        <f t="shared" si="2"/>
        <v>Tetap</v>
      </c>
      <c r="G7" s="7" t="str" cm="1">
        <f t="array" ref="G7">_xlfn.IFS(LEFT(C7,1)="K","Kawin",LEFT(C7,1)="D","Duda",LEFT(C7,1)="J","Janda",TRUE,"Belum Kawin")</f>
        <v>Kawin</v>
      </c>
      <c r="H7" s="7">
        <f t="shared" si="3"/>
        <v>5</v>
      </c>
      <c r="I7" s="7" t="str" cm="1">
        <f t="array" ref="I7">_xlfn.IFS(MID(C7,12,1)="I","Islam",MID(C7,12,1)="H","Hindu",MID(C7,12,1)="B","Buddha",MID(C7,12,1)="N","Nasrani",TRUE,"Lainnya")</f>
        <v>Islam</v>
      </c>
      <c r="J7" s="9">
        <f t="shared" si="4"/>
        <v>38061</v>
      </c>
      <c r="K7" s="7">
        <f t="shared" si="5"/>
        <v>252</v>
      </c>
      <c r="L7" s="11">
        <v>267</v>
      </c>
      <c r="M7" s="7" cm="1">
        <f t="array" ref="M7">_xlfn.IFS(K7&gt;432,4,K7&gt;=372,3,K7&gt;=300,2,TRUE,1)</f>
        <v>1</v>
      </c>
      <c r="N7" s="12">
        <f t="shared" si="6"/>
        <v>1911000</v>
      </c>
      <c r="O7" s="12" cm="1">
        <f t="array" ref="O7">_xlfn.IFS(L7&lt;=200,0,L7&lt;=210,(L7-200)*35555,TRUE,355550+(L7-210)*35555*110%)</f>
        <v>2584848.5</v>
      </c>
      <c r="P7" s="12">
        <f t="shared" si="7"/>
        <v>0</v>
      </c>
      <c r="Q7" s="12">
        <f t="shared" si="8"/>
        <v>95550</v>
      </c>
      <c r="R7" s="12">
        <f t="shared" si="9"/>
        <v>95550</v>
      </c>
      <c r="S7" s="12">
        <f t="shared" si="10"/>
        <v>105105</v>
      </c>
      <c r="T7" s="12" cm="1">
        <f t="array" ref="T7">_xlfn.IFS(I7="Islam",N7*10%,I7="Nasrani",N7*10.2%,TRUE,N7*10.3%)</f>
        <v>191100</v>
      </c>
      <c r="U7" s="13">
        <f t="shared" si="11"/>
        <v>4984000</v>
      </c>
      <c r="V7" s="12">
        <f t="shared" si="12"/>
        <v>38220</v>
      </c>
      <c r="W7" s="14">
        <f t="shared" si="13"/>
        <v>4945000</v>
      </c>
      <c r="X7" s="15">
        <f t="shared" si="14"/>
        <v>49</v>
      </c>
      <c r="Y7" s="15">
        <f t="shared" si="15"/>
        <v>0</v>
      </c>
      <c r="Z7" s="15">
        <f t="shared" si="16"/>
        <v>2</v>
      </c>
      <c r="AA7" s="15">
        <f t="shared" si="17"/>
        <v>0</v>
      </c>
      <c r="AB7" s="15">
        <f t="shared" si="18"/>
        <v>1</v>
      </c>
      <c r="AC7" s="15">
        <f t="shared" si="19"/>
        <v>0</v>
      </c>
      <c r="AD7" s="16">
        <f t="shared" si="20"/>
        <v>4945000</v>
      </c>
    </row>
    <row r="8" spans="1:30" x14ac:dyDescent="0.35">
      <c r="A8" s="6">
        <v>6</v>
      </c>
      <c r="B8" s="7" t="s">
        <v>34</v>
      </c>
      <c r="C8" s="8" t="s">
        <v>35</v>
      </c>
      <c r="D8" s="9">
        <f t="shared" si="0"/>
        <v>32247</v>
      </c>
      <c r="E8" s="10">
        <f t="shared" si="1"/>
        <v>36</v>
      </c>
      <c r="F8" s="7" t="str">
        <f t="shared" si="2"/>
        <v>Lepas</v>
      </c>
      <c r="G8" s="7" t="str" cm="1">
        <f t="array" ref="G8">_xlfn.IFS(LEFT(C8,1)="K","Kawin",LEFT(C8,1)="D","Duda",LEFT(C8,1)="J","Janda",TRUE,"Belum Kawin")</f>
        <v>Duda</v>
      </c>
      <c r="H8" s="7">
        <f t="shared" si="3"/>
        <v>0</v>
      </c>
      <c r="I8" s="7" t="str" cm="1">
        <f t="array" ref="I8">_xlfn.IFS(MID(C8,12,1)="I","Islam",MID(C8,12,1)="H","Hindu",MID(C8,12,1)="B","Buddha",MID(C8,12,1)="N","Nasrani",TRUE,"Lainnya")</f>
        <v>Hindu</v>
      </c>
      <c r="J8" s="9">
        <f t="shared" si="4"/>
        <v>33093</v>
      </c>
      <c r="K8" s="7">
        <f t="shared" si="5"/>
        <v>415</v>
      </c>
      <c r="L8" s="11">
        <v>246</v>
      </c>
      <c r="M8" s="7" cm="1">
        <f t="array" ref="M8">_xlfn.IFS(K8&gt;432,4,K8&gt;=372,3,K8&gt;=300,2,TRUE,1)</f>
        <v>3</v>
      </c>
      <c r="N8" s="12">
        <f t="shared" si="6"/>
        <v>1911000</v>
      </c>
      <c r="O8" s="12" cm="1">
        <f t="array" ref="O8">_xlfn.IFS(L8&lt;=200,0,L8&lt;=210,(L8-200)*35555,TRUE,355550+(L8-210)*35555*110%)</f>
        <v>1763528</v>
      </c>
      <c r="P8" s="12">
        <f t="shared" si="7"/>
        <v>0</v>
      </c>
      <c r="Q8" s="12">
        <f t="shared" si="8"/>
        <v>95550</v>
      </c>
      <c r="R8" s="12">
        <f t="shared" si="9"/>
        <v>171990</v>
      </c>
      <c r="S8" s="12">
        <f t="shared" si="10"/>
        <v>200655</v>
      </c>
      <c r="T8" s="12" cm="1">
        <f t="array" ref="T8">_xlfn.IFS(I8="Islam",N8*10%,I8="Nasrani",N8*10.2%,TRUE,N8*10.3%)</f>
        <v>196833.00000000003</v>
      </c>
      <c r="U8" s="13">
        <f t="shared" si="11"/>
        <v>4340000</v>
      </c>
      <c r="V8" s="12">
        <f t="shared" si="12"/>
        <v>76440</v>
      </c>
      <c r="W8" s="14">
        <f t="shared" si="13"/>
        <v>4263000</v>
      </c>
      <c r="X8" s="15">
        <f t="shared" si="14"/>
        <v>42</v>
      </c>
      <c r="Y8" s="15">
        <f t="shared" si="15"/>
        <v>1</v>
      </c>
      <c r="Z8" s="15">
        <f t="shared" si="16"/>
        <v>0</v>
      </c>
      <c r="AA8" s="15">
        <f t="shared" si="17"/>
        <v>1</v>
      </c>
      <c r="AB8" s="15">
        <f t="shared" si="18"/>
        <v>0</v>
      </c>
      <c r="AC8" s="15">
        <f t="shared" si="19"/>
        <v>3</v>
      </c>
      <c r="AD8" s="16">
        <f t="shared" si="20"/>
        <v>4263000</v>
      </c>
    </row>
    <row r="9" spans="1:30" x14ac:dyDescent="0.35">
      <c r="A9" s="6">
        <v>7</v>
      </c>
      <c r="B9" s="7" t="s">
        <v>36</v>
      </c>
      <c r="C9" s="8" t="s">
        <v>37</v>
      </c>
      <c r="D9" s="9">
        <f t="shared" si="0"/>
        <v>37841</v>
      </c>
      <c r="E9" s="10">
        <f t="shared" si="1"/>
        <v>21</v>
      </c>
      <c r="F9" s="7" t="str">
        <f t="shared" si="2"/>
        <v>Kontrak</v>
      </c>
      <c r="G9" s="7" t="str" cm="1">
        <f t="array" ref="G9">_xlfn.IFS(LEFT(C9,1)="K","Kawin",LEFT(C9,1)="D","Duda",LEFT(C9,1)="J","Janda",TRUE,"Belum Kawin")</f>
        <v>Belum Kawin</v>
      </c>
      <c r="H9" s="7">
        <f t="shared" si="3"/>
        <v>2</v>
      </c>
      <c r="I9" s="7" t="str" cm="1">
        <f t="array" ref="I9">_xlfn.IFS(MID(C9,12,1)="I","Islam",MID(C9,12,1)="H","Hindu",MID(C9,12,1)="B","Buddha",MID(C9,12,1)="N","Nasrani",TRUE,"Lainnya")</f>
        <v>Nasrani</v>
      </c>
      <c r="J9" s="9">
        <f t="shared" si="4"/>
        <v>38655</v>
      </c>
      <c r="K9" s="7">
        <f t="shared" si="5"/>
        <v>233</v>
      </c>
      <c r="L9" s="11">
        <v>193</v>
      </c>
      <c r="M9" s="7" cm="1">
        <f t="array" ref="M9">_xlfn.IFS(K9&gt;432,4,K9&gt;=372,3,K9&gt;=300,2,TRUE,1)</f>
        <v>1</v>
      </c>
      <c r="N9" s="12">
        <f t="shared" si="6"/>
        <v>1844115</v>
      </c>
      <c r="O9" s="12" cm="1">
        <f t="array" ref="O9">_xlfn.IFS(L9&lt;=200,0,L9&lt;=210,(L9-200)*35555,TRUE,355550+(L9-210)*35555*110%)</f>
        <v>0</v>
      </c>
      <c r="P9" s="12">
        <f t="shared" si="7"/>
        <v>184411.5</v>
      </c>
      <c r="Q9" s="12">
        <f t="shared" si="8"/>
        <v>0</v>
      </c>
      <c r="R9" s="12">
        <f t="shared" si="9"/>
        <v>92205.75</v>
      </c>
      <c r="S9" s="12">
        <f t="shared" si="10"/>
        <v>110646.9</v>
      </c>
      <c r="T9" s="12" cm="1">
        <f t="array" ref="T9">_xlfn.IFS(I9="Islam",N9*10%,I9="Nasrani",N9*10.2%,TRUE,N9*10.3%)</f>
        <v>188099.72999999998</v>
      </c>
      <c r="U9" s="13">
        <f t="shared" si="11"/>
        <v>2420000</v>
      </c>
      <c r="V9" s="12">
        <f t="shared" si="12"/>
        <v>36882.300000000003</v>
      </c>
      <c r="W9" s="14">
        <f t="shared" si="13"/>
        <v>2383000</v>
      </c>
      <c r="X9" s="15">
        <f t="shared" si="14"/>
        <v>23</v>
      </c>
      <c r="Y9" s="15">
        <f t="shared" si="15"/>
        <v>1</v>
      </c>
      <c r="Z9" s="15">
        <f t="shared" si="16"/>
        <v>1</v>
      </c>
      <c r="AA9" s="15">
        <f t="shared" si="17"/>
        <v>1</v>
      </c>
      <c r="AB9" s="15">
        <f t="shared" si="18"/>
        <v>0</v>
      </c>
      <c r="AC9" s="15">
        <f t="shared" si="19"/>
        <v>3</v>
      </c>
      <c r="AD9" s="16">
        <f t="shared" si="20"/>
        <v>2383000</v>
      </c>
    </row>
    <row r="10" spans="1:30" x14ac:dyDescent="0.35">
      <c r="A10" s="6">
        <v>8</v>
      </c>
      <c r="B10" s="7" t="s">
        <v>38</v>
      </c>
      <c r="C10" s="8" t="s">
        <v>39</v>
      </c>
      <c r="D10" s="9">
        <f t="shared" si="0"/>
        <v>29360</v>
      </c>
      <c r="E10" s="10">
        <f t="shared" si="1"/>
        <v>44</v>
      </c>
      <c r="F10" s="7" t="str">
        <f t="shared" si="2"/>
        <v>Kontrak</v>
      </c>
      <c r="G10" s="7" t="str" cm="1">
        <f t="array" ref="G10">_xlfn.IFS(LEFT(C10,1)="K","Kawin",LEFT(C10,1)="D","Duda",LEFT(C10,1)="J","Janda",TRUE,"Belum Kawin")</f>
        <v>Janda</v>
      </c>
      <c r="H10" s="7">
        <f t="shared" si="3"/>
        <v>3</v>
      </c>
      <c r="I10" s="7" t="str" cm="1">
        <f t="array" ref="I10">_xlfn.IFS(MID(C10,12,1)="I","Islam",MID(C10,12,1)="H","Hindu",MID(C10,12,1)="B","Buddha",MID(C10,12,1)="N","Nasrani",TRUE,"Lainnya")</f>
        <v>Buddha</v>
      </c>
      <c r="J10" s="9">
        <f t="shared" si="4"/>
        <v>30110</v>
      </c>
      <c r="K10" s="7">
        <f t="shared" si="5"/>
        <v>513</v>
      </c>
      <c r="L10" s="11">
        <v>135</v>
      </c>
      <c r="M10" s="7" cm="1">
        <f t="array" ref="M10">_xlfn.IFS(K10&gt;432,4,K10&gt;=372,3,K10&gt;=300,2,TRUE,1)</f>
        <v>4</v>
      </c>
      <c r="N10" s="12">
        <f t="shared" si="6"/>
        <v>1289925</v>
      </c>
      <c r="O10" s="12" cm="1">
        <f t="array" ref="O10">_xlfn.IFS(L10&lt;=200,0,L10&lt;=210,(L10-200)*35555,TRUE,355550+(L10-210)*35555*110%)</f>
        <v>0</v>
      </c>
      <c r="P10" s="12">
        <f t="shared" si="7"/>
        <v>128992.5</v>
      </c>
      <c r="Q10" s="12">
        <f t="shared" si="8"/>
        <v>64496.25</v>
      </c>
      <c r="R10" s="12">
        <f t="shared" si="9"/>
        <v>128992.5</v>
      </c>
      <c r="S10" s="12">
        <f t="shared" si="10"/>
        <v>140601.82500000001</v>
      </c>
      <c r="T10" s="12" cm="1">
        <f t="array" ref="T10">_xlfn.IFS(I10="Islam",N10*10%,I10="Nasrani",N10*10.2%,TRUE,N10*10.3%)</f>
        <v>132862.27500000002</v>
      </c>
      <c r="U10" s="13">
        <f t="shared" si="11"/>
        <v>1886000</v>
      </c>
      <c r="V10" s="12">
        <f t="shared" si="12"/>
        <v>64496.25</v>
      </c>
      <c r="W10" s="14">
        <f t="shared" si="13"/>
        <v>1821000</v>
      </c>
      <c r="X10" s="15">
        <f t="shared" si="14"/>
        <v>18</v>
      </c>
      <c r="Y10" s="15">
        <f t="shared" si="15"/>
        <v>0</v>
      </c>
      <c r="Z10" s="15">
        <f t="shared" si="16"/>
        <v>1</v>
      </c>
      <c r="AA10" s="15">
        <f t="shared" si="17"/>
        <v>0</v>
      </c>
      <c r="AB10" s="15">
        <f t="shared" si="18"/>
        <v>0</v>
      </c>
      <c r="AC10" s="15">
        <f t="shared" si="19"/>
        <v>1</v>
      </c>
      <c r="AD10" s="16">
        <f t="shared" si="20"/>
        <v>1821000</v>
      </c>
    </row>
    <row r="11" spans="1:30" x14ac:dyDescent="0.35">
      <c r="A11" s="6">
        <v>9</v>
      </c>
      <c r="B11" s="7" t="s">
        <v>40</v>
      </c>
      <c r="C11" s="8" t="s">
        <v>41</v>
      </c>
      <c r="D11" s="9">
        <f t="shared" si="0"/>
        <v>35292</v>
      </c>
      <c r="E11" s="10">
        <f t="shared" si="1"/>
        <v>28</v>
      </c>
      <c r="F11" s="7" t="str">
        <f t="shared" si="2"/>
        <v>Tetap</v>
      </c>
      <c r="G11" s="7" t="str" cm="1">
        <f t="array" ref="G11">_xlfn.IFS(LEFT(C11,1)="K","Kawin",LEFT(C11,1)="D","Duda",LEFT(C11,1)="J","Janda",TRUE,"Belum Kawin")</f>
        <v>Kawin</v>
      </c>
      <c r="H11" s="7">
        <f t="shared" si="3"/>
        <v>4</v>
      </c>
      <c r="I11" s="7" t="str" cm="1">
        <f t="array" ref="I11">_xlfn.IFS(MID(C11,12,1)="I","Islam",MID(C11,12,1)="H","Hindu",MID(C11,12,1)="B","Buddha",MID(C11,12,1)="N","Nasrani",TRUE,"Lainnya")</f>
        <v>Islam</v>
      </c>
      <c r="J11" s="9">
        <f t="shared" si="4"/>
        <v>36140</v>
      </c>
      <c r="K11" s="7">
        <f t="shared" si="5"/>
        <v>315</v>
      </c>
      <c r="L11" s="11">
        <v>222</v>
      </c>
      <c r="M11" s="7" cm="1">
        <f t="array" ref="M11">_xlfn.IFS(K11&gt;432,4,K11&gt;=372,3,K11&gt;=300,2,TRUE,1)</f>
        <v>2</v>
      </c>
      <c r="N11" s="12">
        <f t="shared" si="6"/>
        <v>1911000</v>
      </c>
      <c r="O11" s="12" cm="1">
        <f t="array" ref="O11">_xlfn.IFS(L11&lt;=200,0,L11&lt;=210,(L11-200)*35555,TRUE,355550+(L11-210)*35555*110%)</f>
        <v>824876</v>
      </c>
      <c r="P11" s="12">
        <f t="shared" si="7"/>
        <v>0</v>
      </c>
      <c r="Q11" s="12">
        <f t="shared" si="8"/>
        <v>95550</v>
      </c>
      <c r="R11" s="12">
        <f t="shared" si="9"/>
        <v>152880</v>
      </c>
      <c r="S11" s="12">
        <f t="shared" si="10"/>
        <v>133770</v>
      </c>
      <c r="T11" s="12" cm="1">
        <f t="array" ref="T11">_xlfn.IFS(I11="Islam",N11*10%,I11="Nasrani",N11*10.2%,TRUE,N11*10.3%)</f>
        <v>191100</v>
      </c>
      <c r="U11" s="13">
        <f t="shared" si="11"/>
        <v>3310000</v>
      </c>
      <c r="V11" s="12">
        <f t="shared" si="12"/>
        <v>57330</v>
      </c>
      <c r="W11" s="14">
        <f t="shared" si="13"/>
        <v>3252000</v>
      </c>
      <c r="X11" s="15">
        <f t="shared" si="14"/>
        <v>32</v>
      </c>
      <c r="Y11" s="15">
        <f t="shared" si="15"/>
        <v>1</v>
      </c>
      <c r="Z11" s="15">
        <f t="shared" si="16"/>
        <v>0</v>
      </c>
      <c r="AA11" s="15">
        <f t="shared" si="17"/>
        <v>0</v>
      </c>
      <c r="AB11" s="15">
        <f t="shared" si="18"/>
        <v>0</v>
      </c>
      <c r="AC11" s="15">
        <f t="shared" si="19"/>
        <v>2</v>
      </c>
      <c r="AD11" s="16">
        <f t="shared" si="20"/>
        <v>3252000</v>
      </c>
    </row>
    <row r="12" spans="1:30" x14ac:dyDescent="0.35">
      <c r="A12" s="6">
        <v>10</v>
      </c>
      <c r="B12" s="7" t="s">
        <v>42</v>
      </c>
      <c r="C12" s="8" t="s">
        <v>43</v>
      </c>
      <c r="D12" s="9">
        <f t="shared" si="0"/>
        <v>36980</v>
      </c>
      <c r="E12" s="10">
        <f t="shared" si="1"/>
        <v>24</v>
      </c>
      <c r="F12" s="7" t="str">
        <f t="shared" si="2"/>
        <v>Kontrak</v>
      </c>
      <c r="G12" s="7" t="str" cm="1">
        <f t="array" ref="G12">_xlfn.IFS(LEFT(C12,1)="K","Kawin",LEFT(C12,1)="D","Duda",LEFT(C12,1)="J","Janda",TRUE,"Belum Kawin")</f>
        <v>Belum Kawin</v>
      </c>
      <c r="H12" s="7">
        <f t="shared" si="3"/>
        <v>1</v>
      </c>
      <c r="I12" s="7" t="str" cm="1">
        <f t="array" ref="I12">_xlfn.IFS(MID(C12,12,1)="I","Islam",MID(C12,12,1)="H","Hindu",MID(C12,12,1)="B","Buddha",MID(C12,12,1)="N","Nasrani",TRUE,"Lainnya")</f>
        <v>Hindu</v>
      </c>
      <c r="J12" s="9">
        <f t="shared" si="4"/>
        <v>37803</v>
      </c>
      <c r="K12" s="7">
        <f t="shared" si="5"/>
        <v>261</v>
      </c>
      <c r="L12" s="11">
        <v>218</v>
      </c>
      <c r="M12" s="7" cm="1">
        <f t="array" ref="M12">_xlfn.IFS(K12&gt;432,4,K12&gt;=372,3,K12&gt;=300,2,TRUE,1)</f>
        <v>1</v>
      </c>
      <c r="N12" s="12">
        <f t="shared" si="6"/>
        <v>1911000</v>
      </c>
      <c r="O12" s="12" cm="1">
        <f t="array" ref="O12">_xlfn.IFS(L12&lt;=200,0,L12&lt;=210,(L12-200)*35555,TRUE,355550+(L12-210)*35555*110%)</f>
        <v>668434</v>
      </c>
      <c r="P12" s="12">
        <f t="shared" si="7"/>
        <v>191100</v>
      </c>
      <c r="Q12" s="12">
        <f t="shared" si="8"/>
        <v>0</v>
      </c>
      <c r="R12" s="12">
        <f t="shared" si="9"/>
        <v>95550</v>
      </c>
      <c r="S12" s="12">
        <f t="shared" si="10"/>
        <v>124215</v>
      </c>
      <c r="T12" s="12" cm="1">
        <f t="array" ref="T12">_xlfn.IFS(I12="Islam",N12*10%,I12="Nasrani",N12*10.2%,TRUE,N12*10.3%)</f>
        <v>196833.00000000003</v>
      </c>
      <c r="U12" s="13">
        <f t="shared" si="11"/>
        <v>3188000</v>
      </c>
      <c r="V12" s="12">
        <f t="shared" si="12"/>
        <v>38220</v>
      </c>
      <c r="W12" s="14">
        <f t="shared" si="13"/>
        <v>3149000</v>
      </c>
      <c r="X12" s="15">
        <f t="shared" si="14"/>
        <v>31</v>
      </c>
      <c r="Y12" s="15">
        <f t="shared" si="15"/>
        <v>0</v>
      </c>
      <c r="Z12" s="15">
        <f t="shared" si="16"/>
        <v>2</v>
      </c>
      <c r="AA12" s="15">
        <f t="shared" si="17"/>
        <v>0</v>
      </c>
      <c r="AB12" s="15">
        <f t="shared" si="18"/>
        <v>1</v>
      </c>
      <c r="AC12" s="15">
        <f t="shared" si="19"/>
        <v>4</v>
      </c>
      <c r="AD12" s="16">
        <f t="shared" si="20"/>
        <v>3149000</v>
      </c>
    </row>
    <row r="13" spans="1:30" x14ac:dyDescent="0.35">
      <c r="A13" s="6">
        <v>11</v>
      </c>
      <c r="B13" s="7" t="s">
        <v>44</v>
      </c>
      <c r="C13" s="8" t="s">
        <v>45</v>
      </c>
      <c r="D13" s="9">
        <f t="shared" si="0"/>
        <v>31038</v>
      </c>
      <c r="E13" s="10">
        <f t="shared" si="1"/>
        <v>40</v>
      </c>
      <c r="F13" s="7" t="str">
        <f t="shared" si="2"/>
        <v>Kontrak</v>
      </c>
      <c r="G13" s="7" t="str" cm="1">
        <f t="array" ref="G13">_xlfn.IFS(LEFT(C13,1)="K","Kawin",LEFT(C13,1)="D","Duda",LEFT(C13,1)="J","Janda",TRUE,"Belum Kawin")</f>
        <v>Kawin</v>
      </c>
      <c r="H13" s="7">
        <f t="shared" si="3"/>
        <v>5</v>
      </c>
      <c r="I13" s="7" t="str" cm="1">
        <f t="array" ref="I13">_xlfn.IFS(MID(C13,12,1)="I","Islam",MID(C13,12,1)="H","Hindu",MID(C13,12,1)="B","Buddha",MID(C13,12,1)="N","Nasrani",TRUE,"Lainnya")</f>
        <v>Nasrani</v>
      </c>
      <c r="J13" s="9">
        <f t="shared" si="4"/>
        <v>31603</v>
      </c>
      <c r="K13" s="7">
        <f t="shared" si="5"/>
        <v>464</v>
      </c>
      <c r="L13" s="11">
        <v>237</v>
      </c>
      <c r="M13" s="7" cm="1">
        <f t="array" ref="M13">_xlfn.IFS(K13&gt;432,4,K13&gt;=372,3,K13&gt;=300,2,TRUE,1)</f>
        <v>4</v>
      </c>
      <c r="N13" s="12">
        <f t="shared" si="6"/>
        <v>1911000</v>
      </c>
      <c r="O13" s="12" cm="1">
        <f t="array" ref="O13">_xlfn.IFS(L13&lt;=200,0,L13&lt;=210,(L13-200)*35555,TRUE,355550+(L13-210)*35555*110%)</f>
        <v>1411533.5</v>
      </c>
      <c r="P13" s="12">
        <f t="shared" si="7"/>
        <v>0</v>
      </c>
      <c r="Q13" s="12">
        <f t="shared" si="8"/>
        <v>95550</v>
      </c>
      <c r="R13" s="12">
        <f t="shared" si="9"/>
        <v>191100</v>
      </c>
      <c r="S13" s="12">
        <f t="shared" si="10"/>
        <v>208299</v>
      </c>
      <c r="T13" s="12" cm="1">
        <f t="array" ref="T13">_xlfn.IFS(I13="Islam",N13*10%,I13="Nasrani",N13*10.2%,TRUE,N13*10.3%)</f>
        <v>194922</v>
      </c>
      <c r="U13" s="13">
        <f t="shared" si="11"/>
        <v>4013000</v>
      </c>
      <c r="V13" s="12">
        <f t="shared" si="12"/>
        <v>95550</v>
      </c>
      <c r="W13" s="14">
        <f t="shared" si="13"/>
        <v>3917000</v>
      </c>
      <c r="X13" s="15">
        <f t="shared" si="14"/>
        <v>39</v>
      </c>
      <c r="Y13" s="15">
        <f t="shared" si="15"/>
        <v>0</v>
      </c>
      <c r="Z13" s="15">
        <f t="shared" si="16"/>
        <v>0</v>
      </c>
      <c r="AA13" s="15">
        <f t="shared" si="17"/>
        <v>1</v>
      </c>
      <c r="AB13" s="15">
        <f t="shared" si="18"/>
        <v>1</v>
      </c>
      <c r="AC13" s="15">
        <f t="shared" si="19"/>
        <v>2</v>
      </c>
      <c r="AD13" s="16">
        <f t="shared" si="20"/>
        <v>3917000</v>
      </c>
    </row>
    <row r="14" spans="1:30" x14ac:dyDescent="0.35">
      <c r="A14" s="6">
        <v>12</v>
      </c>
      <c r="B14" s="7" t="s">
        <v>46</v>
      </c>
      <c r="C14" s="8" t="s">
        <v>47</v>
      </c>
      <c r="D14" s="9">
        <f t="shared" si="0"/>
        <v>33886</v>
      </c>
      <c r="E14" s="10">
        <f t="shared" si="1"/>
        <v>32</v>
      </c>
      <c r="F14" s="7" t="str">
        <f t="shared" si="2"/>
        <v>Kontrak</v>
      </c>
      <c r="G14" s="7" t="str" cm="1">
        <f t="array" ref="G14">_xlfn.IFS(LEFT(C14,1)="K","Kawin",LEFT(C14,1)="D","Duda",LEFT(C14,1)="J","Janda",TRUE,"Belum Kawin")</f>
        <v>Duda</v>
      </c>
      <c r="H14" s="7">
        <f t="shared" si="3"/>
        <v>0</v>
      </c>
      <c r="I14" s="7" t="str" cm="1">
        <f t="array" ref="I14">_xlfn.IFS(MID(C14,12,1)="I","Islam",MID(C14,12,1)="H","Hindu",MID(C14,12,1)="B","Buddha",MID(C14,12,1)="N","Nasrani",TRUE,"Lainnya")</f>
        <v>Lainnya</v>
      </c>
      <c r="J14" s="9">
        <f t="shared" si="4"/>
        <v>34696</v>
      </c>
      <c r="K14" s="7">
        <f t="shared" si="5"/>
        <v>363</v>
      </c>
      <c r="L14" s="11">
        <v>156</v>
      </c>
      <c r="M14" s="7" cm="1">
        <f t="array" ref="M14">_xlfn.IFS(K14&gt;432,4,K14&gt;=372,3,K14&gt;=300,2,TRUE,1)</f>
        <v>2</v>
      </c>
      <c r="N14" s="12">
        <f t="shared" si="6"/>
        <v>1490580</v>
      </c>
      <c r="O14" s="12" cm="1">
        <f t="array" ref="O14">_xlfn.IFS(L14&lt;=200,0,L14&lt;=210,(L14-200)*35555,TRUE,355550+(L14-210)*35555*110%)</f>
        <v>0</v>
      </c>
      <c r="P14" s="12">
        <f t="shared" si="7"/>
        <v>0</v>
      </c>
      <c r="Q14" s="12">
        <f t="shared" si="8"/>
        <v>74529</v>
      </c>
      <c r="R14" s="12">
        <f t="shared" si="9"/>
        <v>119246.40000000001</v>
      </c>
      <c r="S14" s="12">
        <f t="shared" si="10"/>
        <v>119246.40000000001</v>
      </c>
      <c r="T14" s="12" cm="1">
        <f t="array" ref="T14">_xlfn.IFS(I14="Islam",N14*10%,I14="Nasrani",N14*10.2%,TRUE,N14*10.3%)</f>
        <v>153529.74000000002</v>
      </c>
      <c r="U14" s="13">
        <f t="shared" si="11"/>
        <v>1958000</v>
      </c>
      <c r="V14" s="12">
        <f t="shared" si="12"/>
        <v>44717.4</v>
      </c>
      <c r="W14" s="14">
        <f t="shared" si="13"/>
        <v>1913000</v>
      </c>
      <c r="X14" s="15">
        <f t="shared" si="14"/>
        <v>19</v>
      </c>
      <c r="Y14" s="15">
        <f t="shared" si="15"/>
        <v>0</v>
      </c>
      <c r="Z14" s="15">
        <f t="shared" si="16"/>
        <v>0</v>
      </c>
      <c r="AA14" s="15">
        <f t="shared" si="17"/>
        <v>1</v>
      </c>
      <c r="AB14" s="15">
        <f t="shared" si="18"/>
        <v>0</v>
      </c>
      <c r="AC14" s="15">
        <f t="shared" si="19"/>
        <v>3</v>
      </c>
      <c r="AD14" s="16">
        <f t="shared" si="20"/>
        <v>1913000</v>
      </c>
    </row>
    <row r="15" spans="1:30" x14ac:dyDescent="0.35">
      <c r="A15" s="6">
        <v>13</v>
      </c>
      <c r="B15" s="7" t="s">
        <v>48</v>
      </c>
      <c r="C15" s="8" t="s">
        <v>49</v>
      </c>
      <c r="D15" s="9">
        <f t="shared" si="0"/>
        <v>35520</v>
      </c>
      <c r="E15" s="10">
        <f t="shared" si="1"/>
        <v>28</v>
      </c>
      <c r="F15" s="7" t="str">
        <f t="shared" si="2"/>
        <v>Lepas</v>
      </c>
      <c r="G15" s="7" t="str" cm="1">
        <f t="array" ref="G15">_xlfn.IFS(LEFT(C15,1)="K","Kawin",LEFT(C15,1)="D","Duda",LEFT(C15,1)="J","Janda",TRUE,"Belum Kawin")</f>
        <v>Kawin</v>
      </c>
      <c r="H15" s="7">
        <f t="shared" si="3"/>
        <v>2</v>
      </c>
      <c r="I15" s="7" t="str" cm="1">
        <f t="array" ref="I15">_xlfn.IFS(MID(C15,12,1)="I","Islam",MID(C15,12,1)="H","Hindu",MID(C15,12,1)="B","Buddha",MID(C15,12,1)="N","Nasrani",TRUE,"Lainnya")</f>
        <v>Islam</v>
      </c>
      <c r="J15" s="9">
        <f t="shared" si="4"/>
        <v>36200</v>
      </c>
      <c r="K15" s="7">
        <f t="shared" si="5"/>
        <v>313</v>
      </c>
      <c r="L15" s="11">
        <v>134</v>
      </c>
      <c r="M15" s="7" cm="1">
        <f t="array" ref="M15">_xlfn.IFS(K15&gt;432,4,K15&gt;=372,3,K15&gt;=300,2,TRUE,1)</f>
        <v>2</v>
      </c>
      <c r="N15" s="12">
        <f t="shared" si="6"/>
        <v>1280370</v>
      </c>
      <c r="O15" s="12" cm="1">
        <f t="array" ref="O15">_xlfn.IFS(L15&lt;=200,0,L15&lt;=210,(L15-200)*35555,TRUE,355550+(L15-210)*35555*110%)</f>
        <v>0</v>
      </c>
      <c r="P15" s="12">
        <f t="shared" si="7"/>
        <v>128037</v>
      </c>
      <c r="Q15" s="12">
        <f t="shared" si="8"/>
        <v>64018.5</v>
      </c>
      <c r="R15" s="12">
        <f t="shared" si="9"/>
        <v>102429.6</v>
      </c>
      <c r="S15" s="12">
        <f t="shared" si="10"/>
        <v>89625.900000000009</v>
      </c>
      <c r="T15" s="12" cm="1">
        <f t="array" ref="T15">_xlfn.IFS(I15="Islam",N15*10%,I15="Nasrani",N15*10.2%,TRUE,N15*10.3%)</f>
        <v>128037</v>
      </c>
      <c r="U15" s="13">
        <f t="shared" si="11"/>
        <v>1793000</v>
      </c>
      <c r="V15" s="12">
        <f t="shared" si="12"/>
        <v>38411.1</v>
      </c>
      <c r="W15" s="14">
        <f t="shared" si="13"/>
        <v>1754000</v>
      </c>
      <c r="X15" s="15">
        <f t="shared" si="14"/>
        <v>17</v>
      </c>
      <c r="Y15" s="15">
        <f t="shared" si="15"/>
        <v>1</v>
      </c>
      <c r="Z15" s="15">
        <f t="shared" si="16"/>
        <v>0</v>
      </c>
      <c r="AA15" s="15">
        <f t="shared" si="17"/>
        <v>0</v>
      </c>
      <c r="AB15" s="15">
        <f t="shared" si="18"/>
        <v>0</v>
      </c>
      <c r="AC15" s="15">
        <f t="shared" si="19"/>
        <v>4</v>
      </c>
      <c r="AD15" s="16">
        <f t="shared" si="20"/>
        <v>1754000</v>
      </c>
    </row>
    <row r="16" spans="1:30" x14ac:dyDescent="0.35">
      <c r="A16" s="6">
        <v>14</v>
      </c>
      <c r="B16" s="7" t="s">
        <v>50</v>
      </c>
      <c r="C16" s="8" t="s">
        <v>51</v>
      </c>
      <c r="D16" s="9">
        <f t="shared" si="0"/>
        <v>36255</v>
      </c>
      <c r="E16" s="10">
        <f t="shared" si="1"/>
        <v>25</v>
      </c>
      <c r="F16" s="7" t="str">
        <f t="shared" si="2"/>
        <v>Kontrak</v>
      </c>
      <c r="G16" s="7" t="str" cm="1">
        <f t="array" ref="G16">_xlfn.IFS(LEFT(C16,1)="K","Kawin",LEFT(C16,1)="D","Duda",LEFT(C16,1)="J","Janda",TRUE,"Belum Kawin")</f>
        <v>Belum Kawin</v>
      </c>
      <c r="H16" s="7">
        <f t="shared" si="3"/>
        <v>3</v>
      </c>
      <c r="I16" s="7" t="str" cm="1">
        <f t="array" ref="I16">_xlfn.IFS(MID(C16,12,1)="I","Islam",MID(C16,12,1)="H","Hindu",MID(C16,12,1)="B","Buddha",MID(C16,12,1)="N","Nasrani",TRUE,"Lainnya")</f>
        <v>Hindu</v>
      </c>
      <c r="J16" s="9">
        <f t="shared" si="4"/>
        <v>36902</v>
      </c>
      <c r="K16" s="7">
        <f t="shared" si="5"/>
        <v>290</v>
      </c>
      <c r="L16" s="11">
        <v>210</v>
      </c>
      <c r="M16" s="7" cm="1">
        <f t="array" ref="M16">_xlfn.IFS(K16&gt;432,4,K16&gt;=372,3,K16&gt;=300,2,TRUE,1)</f>
        <v>1</v>
      </c>
      <c r="N16" s="12">
        <f t="shared" si="6"/>
        <v>1911000</v>
      </c>
      <c r="O16" s="12" cm="1">
        <f t="array" ref="O16">_xlfn.IFS(L16&lt;=200,0,L16&lt;=210,(L16-200)*35555,TRUE,355550+(L16-210)*35555*110%)</f>
        <v>355550</v>
      </c>
      <c r="P16" s="12">
        <f t="shared" si="7"/>
        <v>191100</v>
      </c>
      <c r="Q16" s="12">
        <f t="shared" si="8"/>
        <v>0</v>
      </c>
      <c r="R16" s="12">
        <f t="shared" si="9"/>
        <v>95550</v>
      </c>
      <c r="S16" s="12">
        <f t="shared" si="10"/>
        <v>105105</v>
      </c>
      <c r="T16" s="12" cm="1">
        <f t="array" ref="T16">_xlfn.IFS(I16="Islam",N16*10%,I16="Nasrani",N16*10.2%,TRUE,N16*10.3%)</f>
        <v>196833.00000000003</v>
      </c>
      <c r="U16" s="13">
        <f t="shared" si="11"/>
        <v>2856000</v>
      </c>
      <c r="V16" s="12">
        <f t="shared" si="12"/>
        <v>38220</v>
      </c>
      <c r="W16" s="14">
        <f t="shared" si="13"/>
        <v>2817000</v>
      </c>
      <c r="X16" s="15">
        <f t="shared" si="14"/>
        <v>28</v>
      </c>
      <c r="Y16" s="15">
        <f t="shared" si="15"/>
        <v>0</v>
      </c>
      <c r="Z16" s="15">
        <f t="shared" si="16"/>
        <v>0</v>
      </c>
      <c r="AA16" s="15">
        <f t="shared" si="17"/>
        <v>1</v>
      </c>
      <c r="AB16" s="15">
        <f t="shared" si="18"/>
        <v>1</v>
      </c>
      <c r="AC16" s="15">
        <f t="shared" si="19"/>
        <v>2</v>
      </c>
      <c r="AD16" s="16">
        <f t="shared" si="20"/>
        <v>2817000</v>
      </c>
    </row>
    <row r="17" spans="1:30" x14ac:dyDescent="0.35">
      <c r="A17" s="6">
        <v>15</v>
      </c>
      <c r="B17" s="7" t="s">
        <v>52</v>
      </c>
      <c r="C17" s="8" t="s">
        <v>53</v>
      </c>
      <c r="D17" s="9">
        <f t="shared" si="0"/>
        <v>33105</v>
      </c>
      <c r="E17" s="10">
        <f t="shared" si="1"/>
        <v>34</v>
      </c>
      <c r="F17" s="7" t="str">
        <f t="shared" si="2"/>
        <v>Kontrak</v>
      </c>
      <c r="G17" s="7" t="str" cm="1">
        <f t="array" ref="G17">_xlfn.IFS(LEFT(C17,1)="K","Kawin",LEFT(C17,1)="D","Duda",LEFT(C17,1)="J","Janda",TRUE,"Belum Kawin")</f>
        <v>Duda</v>
      </c>
      <c r="H17" s="7">
        <f t="shared" si="3"/>
        <v>4</v>
      </c>
      <c r="I17" s="7" t="str" cm="1">
        <f t="array" ref="I17">_xlfn.IFS(MID(C17,12,1)="I","Islam",MID(C17,12,1)="H","Hindu",MID(C17,12,1)="B","Buddha",MID(C17,12,1)="N","Nasrani",TRUE,"Lainnya")</f>
        <v>Nasrani</v>
      </c>
      <c r="J17" s="9">
        <f t="shared" si="4"/>
        <v>33859</v>
      </c>
      <c r="K17" s="7">
        <f t="shared" si="5"/>
        <v>390</v>
      </c>
      <c r="L17" s="11">
        <v>128</v>
      </c>
      <c r="M17" s="7" cm="1">
        <f t="array" ref="M17">_xlfn.IFS(K17&gt;432,4,K17&gt;=372,3,K17&gt;=300,2,TRUE,1)</f>
        <v>3</v>
      </c>
      <c r="N17" s="12">
        <f t="shared" si="6"/>
        <v>1223040</v>
      </c>
      <c r="O17" s="12" cm="1">
        <f t="array" ref="O17">_xlfn.IFS(L17&lt;=200,0,L17&lt;=210,(L17-200)*35555,TRUE,355550+(L17-210)*35555*110%)</f>
        <v>0</v>
      </c>
      <c r="P17" s="12">
        <f t="shared" si="7"/>
        <v>0</v>
      </c>
      <c r="Q17" s="12">
        <f t="shared" si="8"/>
        <v>61152</v>
      </c>
      <c r="R17" s="12">
        <f t="shared" si="9"/>
        <v>110073.59999999999</v>
      </c>
      <c r="S17" s="12">
        <f t="shared" si="10"/>
        <v>128419.2</v>
      </c>
      <c r="T17" s="12" cm="1">
        <f t="array" ref="T17">_xlfn.IFS(I17="Islam",N17*10%,I17="Nasrani",N17*10.2%,TRUE,N17*10.3%)</f>
        <v>124750.07999999999</v>
      </c>
      <c r="U17" s="13">
        <f t="shared" si="11"/>
        <v>1648000</v>
      </c>
      <c r="V17" s="12">
        <f t="shared" si="12"/>
        <v>48921.599999999999</v>
      </c>
      <c r="W17" s="14">
        <f t="shared" si="13"/>
        <v>1599000</v>
      </c>
      <c r="X17" s="15">
        <f t="shared" si="14"/>
        <v>15</v>
      </c>
      <c r="Y17" s="15">
        <f t="shared" si="15"/>
        <v>1</v>
      </c>
      <c r="Z17" s="15">
        <f t="shared" si="16"/>
        <v>2</v>
      </c>
      <c r="AA17" s="15">
        <f t="shared" si="17"/>
        <v>0</v>
      </c>
      <c r="AB17" s="15">
        <f t="shared" si="18"/>
        <v>1</v>
      </c>
      <c r="AC17" s="15">
        <f t="shared" si="19"/>
        <v>4</v>
      </c>
      <c r="AD17" s="16">
        <f t="shared" si="20"/>
        <v>1599000</v>
      </c>
    </row>
    <row r="26" spans="1:30" x14ac:dyDescent="0.35">
      <c r="B26" s="17" t="s">
        <v>54</v>
      </c>
      <c r="C26" s="17"/>
      <c r="D26" s="17"/>
      <c r="E26" s="17"/>
    </row>
    <row r="27" spans="1:30" x14ac:dyDescent="0.35">
      <c r="B27" s="18">
        <v>1</v>
      </c>
      <c r="C27" s="19" t="s">
        <v>55</v>
      </c>
      <c r="D27" s="20"/>
      <c r="E27" s="20"/>
      <c r="H27" s="21" t="s">
        <v>56</v>
      </c>
    </row>
    <row r="28" spans="1:30" x14ac:dyDescent="0.35">
      <c r="B28" s="18">
        <v>2</v>
      </c>
      <c r="C28" t="s">
        <v>57</v>
      </c>
      <c r="H28" s="22" t="s">
        <v>12</v>
      </c>
      <c r="I28" s="23">
        <v>1</v>
      </c>
      <c r="J28" s="23">
        <v>2</v>
      </c>
      <c r="K28" s="23">
        <v>3</v>
      </c>
      <c r="L28" s="23">
        <v>4</v>
      </c>
      <c r="N28" s="21" t="s">
        <v>58</v>
      </c>
    </row>
    <row r="29" spans="1:30" x14ac:dyDescent="0.35">
      <c r="B29" s="18">
        <v>3</v>
      </c>
      <c r="C29" s="19" t="s">
        <v>59</v>
      </c>
      <c r="D29" s="20"/>
      <c r="E29" s="20"/>
      <c r="H29" s="22" t="s">
        <v>60</v>
      </c>
      <c r="I29" s="24">
        <v>0.05</v>
      </c>
      <c r="J29" s="24">
        <v>0.08</v>
      </c>
      <c r="K29" s="24">
        <v>0.09</v>
      </c>
      <c r="L29" s="24">
        <v>0.1</v>
      </c>
      <c r="N29" s="25" t="s">
        <v>61</v>
      </c>
      <c r="O29" s="25" t="s">
        <v>62</v>
      </c>
    </row>
    <row r="30" spans="1:30" x14ac:dyDescent="0.35">
      <c r="B30" s="18">
        <v>4</v>
      </c>
      <c r="C30" s="19" t="s">
        <v>63</v>
      </c>
      <c r="D30" s="20"/>
      <c r="E30" s="20"/>
      <c r="N30" s="23">
        <v>1</v>
      </c>
      <c r="O30" s="26">
        <v>0.02</v>
      </c>
    </row>
    <row r="31" spans="1:30" x14ac:dyDescent="0.35">
      <c r="B31" s="18">
        <v>5</v>
      </c>
      <c r="C31" s="19" t="s">
        <v>64</v>
      </c>
      <c r="D31" s="20"/>
      <c r="E31" s="20"/>
      <c r="H31" s="27" t="s">
        <v>65</v>
      </c>
      <c r="I31" s="27"/>
      <c r="J31" s="27"/>
      <c r="K31" s="27"/>
      <c r="L31" s="27"/>
      <c r="N31" s="23">
        <v>2</v>
      </c>
      <c r="O31" s="26">
        <v>0.03</v>
      </c>
    </row>
    <row r="32" spans="1:30" x14ac:dyDescent="0.35">
      <c r="B32" s="18">
        <v>6</v>
      </c>
      <c r="C32" s="19" t="s">
        <v>66</v>
      </c>
      <c r="D32" s="20"/>
      <c r="E32" s="20"/>
      <c r="F32" s="20"/>
      <c r="H32" s="25" t="s">
        <v>67</v>
      </c>
      <c r="I32" s="25" t="s">
        <v>68</v>
      </c>
      <c r="J32" s="25" t="s">
        <v>69</v>
      </c>
      <c r="K32" s="25" t="s">
        <v>70</v>
      </c>
      <c r="L32" s="25" t="s">
        <v>71</v>
      </c>
      <c r="N32" s="23">
        <v>3</v>
      </c>
      <c r="O32" s="26">
        <v>0.04</v>
      </c>
    </row>
    <row r="33" spans="2:15" x14ac:dyDescent="0.35">
      <c r="B33" s="18">
        <v>7</v>
      </c>
      <c r="C33" s="19" t="s">
        <v>72</v>
      </c>
      <c r="D33" s="20"/>
      <c r="E33" s="20"/>
      <c r="F33" s="20"/>
      <c r="H33" s="23">
        <v>1</v>
      </c>
      <c r="I33" s="26">
        <v>0.05</v>
      </c>
      <c r="J33" s="26">
        <v>5.5E-2</v>
      </c>
      <c r="K33" s="26">
        <v>0.06</v>
      </c>
      <c r="L33" s="26">
        <v>6.5000000000000002E-2</v>
      </c>
      <c r="N33" s="23">
        <v>4</v>
      </c>
      <c r="O33" s="26">
        <v>0.05</v>
      </c>
    </row>
    <row r="34" spans="2:15" x14ac:dyDescent="0.35">
      <c r="B34" s="18">
        <v>8</v>
      </c>
      <c r="C34" t="s">
        <v>73</v>
      </c>
      <c r="H34" s="23">
        <v>2</v>
      </c>
      <c r="I34" s="26">
        <v>7.0000000000000007E-2</v>
      </c>
      <c r="J34" s="26">
        <v>7.4999999999999997E-2</v>
      </c>
      <c r="K34" s="26">
        <v>0.08</v>
      </c>
      <c r="L34" s="26">
        <v>8.5000000000000006E-2</v>
      </c>
    </row>
    <row r="35" spans="2:15" x14ac:dyDescent="0.35">
      <c r="B35" s="18">
        <v>9</v>
      </c>
      <c r="C35" s="28" t="s">
        <v>74</v>
      </c>
      <c r="H35" s="23">
        <v>3</v>
      </c>
      <c r="I35" s="26">
        <v>0.09</v>
      </c>
      <c r="J35" s="26">
        <v>9.5000000000000001E-2</v>
      </c>
      <c r="K35" s="26">
        <v>0.1</v>
      </c>
      <c r="L35" s="26">
        <v>0.105</v>
      </c>
    </row>
    <row r="36" spans="2:15" x14ac:dyDescent="0.35">
      <c r="B36" s="18"/>
      <c r="C36" s="29" t="s">
        <v>75</v>
      </c>
      <c r="H36" s="23">
        <v>4</v>
      </c>
      <c r="I36" s="26">
        <v>0.108</v>
      </c>
      <c r="J36" s="26">
        <v>0.109</v>
      </c>
      <c r="K36" s="26">
        <v>0.11</v>
      </c>
      <c r="L36" s="26">
        <v>0.115</v>
      </c>
    </row>
    <row r="37" spans="2:15" x14ac:dyDescent="0.35">
      <c r="B37" s="18"/>
      <c r="C37" s="29" t="s">
        <v>76</v>
      </c>
    </row>
    <row r="38" spans="2:15" x14ac:dyDescent="0.35">
      <c r="B38" s="18"/>
      <c r="C38" s="29" t="s">
        <v>77</v>
      </c>
    </row>
    <row r="39" spans="2:15" x14ac:dyDescent="0.35">
      <c r="B39" s="18"/>
      <c r="C39" s="29" t="s">
        <v>78</v>
      </c>
    </row>
    <row r="40" spans="2:15" x14ac:dyDescent="0.35">
      <c r="C40" s="30" t="s">
        <v>79</v>
      </c>
    </row>
    <row r="41" spans="2:15" x14ac:dyDescent="0.35">
      <c r="B41" s="18">
        <v>10</v>
      </c>
      <c r="C41" s="19" t="s">
        <v>80</v>
      </c>
    </row>
    <row r="42" spans="2:15" x14ac:dyDescent="0.35">
      <c r="B42" s="18">
        <v>11</v>
      </c>
      <c r="C42" s="19" t="s">
        <v>81</v>
      </c>
    </row>
    <row r="43" spans="2:15" x14ac:dyDescent="0.35">
      <c r="B43" s="18"/>
      <c r="C43" s="29" t="s">
        <v>82</v>
      </c>
    </row>
    <row r="44" spans="2:15" x14ac:dyDescent="0.35">
      <c r="B44" s="18"/>
      <c r="C44" s="29" t="s">
        <v>83</v>
      </c>
    </row>
    <row r="45" spans="2:15" x14ac:dyDescent="0.35">
      <c r="B45" s="18">
        <v>12</v>
      </c>
      <c r="C45" s="19" t="s">
        <v>84</v>
      </c>
    </row>
    <row r="46" spans="2:15" x14ac:dyDescent="0.35">
      <c r="B46" s="18">
        <v>13</v>
      </c>
      <c r="C46" s="19" t="s">
        <v>85</v>
      </c>
    </row>
    <row r="47" spans="2:15" x14ac:dyDescent="0.35">
      <c r="B47" s="18">
        <v>14</v>
      </c>
      <c r="C47" s="19" t="s">
        <v>86</v>
      </c>
    </row>
    <row r="48" spans="2:15" x14ac:dyDescent="0.35">
      <c r="B48" s="18">
        <v>15</v>
      </c>
      <c r="C48" s="19" t="s">
        <v>87</v>
      </c>
    </row>
    <row r="49" spans="2:3" x14ac:dyDescent="0.35">
      <c r="B49" s="18">
        <v>16</v>
      </c>
      <c r="C49" t="s">
        <v>88</v>
      </c>
    </row>
    <row r="50" spans="2:3" x14ac:dyDescent="0.35">
      <c r="B50" s="18">
        <v>17</v>
      </c>
      <c r="C50" s="19" t="s">
        <v>89</v>
      </c>
    </row>
    <row r="51" spans="2:3" x14ac:dyDescent="0.35">
      <c r="C51" s="19" t="s">
        <v>90</v>
      </c>
    </row>
    <row r="52" spans="2:3" x14ac:dyDescent="0.35">
      <c r="B52" s="18">
        <v>18</v>
      </c>
      <c r="C52" s="19" t="s">
        <v>91</v>
      </c>
    </row>
    <row r="53" spans="2:3" x14ac:dyDescent="0.35">
      <c r="B53" s="18">
        <v>19</v>
      </c>
      <c r="C53" s="19" t="s">
        <v>92</v>
      </c>
    </row>
    <row r="54" spans="2:3" x14ac:dyDescent="0.35">
      <c r="C54" s="19" t="s">
        <v>93</v>
      </c>
    </row>
    <row r="55" spans="2:3" x14ac:dyDescent="0.35">
      <c r="B55" s="18">
        <v>20</v>
      </c>
      <c r="C55" s="19" t="s">
        <v>94</v>
      </c>
    </row>
  </sheetData>
  <mergeCells count="1">
    <mergeCell ref="H31:L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10B4-9660-43BC-A217-3DE8EDFE89F1}">
  <dimension ref="B2:Z6"/>
  <sheetViews>
    <sheetView showGridLines="0" zoomScale="77" workbookViewId="0">
      <selection activeCell="AF10" sqref="AF10"/>
    </sheetView>
  </sheetViews>
  <sheetFormatPr defaultRowHeight="14.5" x14ac:dyDescent="0.35"/>
  <cols>
    <col min="2" max="2" width="3.81640625" customWidth="1"/>
    <col min="3" max="3" width="3.81640625" bestFit="1" customWidth="1"/>
    <col min="4" max="11" width="3.453125" bestFit="1" customWidth="1"/>
    <col min="12" max="12" width="3" bestFit="1" customWidth="1"/>
    <col min="13" max="13" width="3.81640625" bestFit="1" customWidth="1"/>
    <col min="14" max="21" width="3.453125" bestFit="1" customWidth="1"/>
    <col min="22" max="22" width="3" bestFit="1" customWidth="1"/>
    <col min="23" max="23" width="3.453125" bestFit="1" customWidth="1"/>
    <col min="24" max="24" width="3" bestFit="1" customWidth="1"/>
    <col min="25" max="26" width="3.453125" bestFit="1" customWidth="1"/>
  </cols>
  <sheetData>
    <row r="2" spans="2:26" x14ac:dyDescent="0.35">
      <c r="B2" s="17" t="s">
        <v>95</v>
      </c>
    </row>
    <row r="5" spans="2:26" x14ac:dyDescent="0.35"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</row>
    <row r="6" spans="2:26" ht="26" x14ac:dyDescent="0.6">
      <c r="B6" s="32" t="s">
        <v>96</v>
      </c>
      <c r="C6" s="32" t="s">
        <v>97</v>
      </c>
      <c r="D6" s="32">
        <v>2</v>
      </c>
      <c r="E6" s="32">
        <v>3</v>
      </c>
      <c r="F6" s="32">
        <v>0</v>
      </c>
      <c r="G6" s="32">
        <v>8</v>
      </c>
      <c r="H6" s="32">
        <v>1</v>
      </c>
      <c r="I6" s="32">
        <v>9</v>
      </c>
      <c r="J6" s="32">
        <v>8</v>
      </c>
      <c r="K6" s="32">
        <v>5</v>
      </c>
      <c r="L6" s="32" t="s">
        <v>98</v>
      </c>
      <c r="M6" s="32" t="s">
        <v>99</v>
      </c>
      <c r="N6" s="32">
        <v>1</v>
      </c>
      <c r="O6" s="32">
        <v>2</v>
      </c>
      <c r="P6" s="32">
        <v>0</v>
      </c>
      <c r="Q6" s="32">
        <v>7</v>
      </c>
      <c r="R6" s="32">
        <v>1</v>
      </c>
      <c r="S6" s="32">
        <v>9</v>
      </c>
      <c r="T6" s="32">
        <v>9</v>
      </c>
      <c r="U6" s="32">
        <v>0</v>
      </c>
      <c r="V6" s="32" t="s">
        <v>98</v>
      </c>
      <c r="W6" s="32">
        <v>2</v>
      </c>
      <c r="X6" s="32" t="s">
        <v>98</v>
      </c>
      <c r="Y6" s="32" t="s">
        <v>96</v>
      </c>
      <c r="Z6" s="32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Arti_Kode_Pegawai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Rizky</dc:creator>
  <cp:lastModifiedBy>Farhan Rizky</cp:lastModifiedBy>
  <dcterms:created xsi:type="dcterms:W3CDTF">2026-03-16T22:41:29Z</dcterms:created>
  <dcterms:modified xsi:type="dcterms:W3CDTF">2026-03-16T22:58:11Z</dcterms:modified>
</cp:coreProperties>
</file>